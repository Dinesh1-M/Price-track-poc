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mrctab.sharepoint.com/sites/PreSalesandSolutionsTeam/Pre Sales Store 30/Reference Documents/Standard Documents/Margin Calc_NEW2026/"/>
    </mc:Choice>
  </mc:AlternateContent>
  <xr:revisionPtr revIDLastSave="0" documentId="8_{33B016F1-7C80-4F17-B968-836506127BCC}" xr6:coauthVersionLast="47" xr6:coauthVersionMax="47" xr10:uidLastSave="{00000000-0000-0000-0000-000000000000}"/>
  <bookViews>
    <workbookView xWindow="-110" yWindow="-110" windowWidth="19420" windowHeight="10300" tabRatio="500" firstSheet="2" activeTab="1" xr2:uid="{00000000-000D-0000-FFFF-FFFF00000000}"/>
  </bookViews>
  <sheets>
    <sheet name="Read Me" sheetId="1" r:id="rId1"/>
    <sheet name="Margin_Summary" sheetId="2" r:id="rId2"/>
    <sheet name="Governance" sheetId="3" r:id="rId3"/>
    <sheet name="Revenue &amp; Cost_Onshore" sheetId="4" r:id="rId4"/>
    <sheet name="Revenue &amp; Cost_Offshore " sheetId="5" r:id="rId5"/>
    <sheet name="Vertical-Based GM Calculation" sheetId="6" state="hidden" r:id="rId6"/>
    <sheet name="Lists" sheetId="7" state="hidden" r:id="rId7"/>
    <sheet name="IP_Product Cost" sheetId="8" r:id="rId8"/>
    <sheet name="Master File - Rate Card" sheetId="9" r:id="rId9"/>
  </sheets>
  <definedNames>
    <definedName name="_xlnm._FilterDatabase" localSheetId="8" hidden="1">'Master File - Rate Card'!$A$3:$L$163</definedName>
    <definedName name="Architecture___Design">Lists!$B$2:$B$32</definedName>
    <definedName name="CategoryList">Lists!$A$2:$A$8</definedName>
    <definedName name="CI">Lists!$G$2:$G$3</definedName>
    <definedName name="Data_Science">Lists!$D$2:$D$24</definedName>
    <definedName name="Engineering___Quality">Lists!$C$2:$C$82</definedName>
    <definedName name="MI">Lists!$H$2:$H$13</definedName>
    <definedName name="Professional_Services___Advisory">Lists!$F$2:$F$6</definedName>
    <definedName name="Program___Project_Management">Lists!$E$2:$E$20</definedName>
    <definedName name="VerticalList">Lists!$J$2:$J$8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" i="9" l="1" a="1"/>
  <c r="B1" i="9" s="1"/>
  <c r="I4" i="9"/>
  <c r="K4" i="9" s="1"/>
  <c r="E6" i="5"/>
  <c r="E6" i="4"/>
  <c r="E9" i="4"/>
  <c r="E10" i="4"/>
  <c r="E11" i="4"/>
  <c r="E12" i="4"/>
  <c r="E13" i="4"/>
  <c r="E9" i="5"/>
  <c r="E10" i="5"/>
  <c r="E11" i="5"/>
  <c r="E12" i="5"/>
  <c r="E13" i="5"/>
  <c r="E14" i="5"/>
  <c r="I163" i="9"/>
  <c r="G163" i="9"/>
  <c r="B163" i="9"/>
  <c r="I162" i="9"/>
  <c r="G162" i="9"/>
  <c r="B162" i="9"/>
  <c r="I161" i="9"/>
  <c r="G161" i="9"/>
  <c r="B161" i="9"/>
  <c r="I160" i="9"/>
  <c r="G160" i="9"/>
  <c r="B160" i="9"/>
  <c r="I159" i="9"/>
  <c r="K159" i="9" s="1"/>
  <c r="F159" i="9"/>
  <c r="B159" i="9"/>
  <c r="I158" i="9"/>
  <c r="K158" i="9" s="1"/>
  <c r="F158" i="9"/>
  <c r="B158" i="9"/>
  <c r="I157" i="9"/>
  <c r="K157" i="9" s="1"/>
  <c r="F157" i="9"/>
  <c r="B157" i="9"/>
  <c r="I156" i="9"/>
  <c r="K156" i="9" s="1"/>
  <c r="F156" i="9"/>
  <c r="B156" i="9"/>
  <c r="I155" i="9"/>
  <c r="K155" i="9" s="1"/>
  <c r="F155" i="9"/>
  <c r="B155" i="9"/>
  <c r="I154" i="9"/>
  <c r="K154" i="9" s="1"/>
  <c r="F154" i="9"/>
  <c r="B154" i="9"/>
  <c r="I153" i="9"/>
  <c r="K153" i="9" s="1"/>
  <c r="F153" i="9"/>
  <c r="B153" i="9"/>
  <c r="I152" i="9"/>
  <c r="K152" i="9" s="1"/>
  <c r="F152" i="9"/>
  <c r="B152" i="9"/>
  <c r="I151" i="9"/>
  <c r="K151" i="9" s="1"/>
  <c r="G151" i="9"/>
  <c r="B151" i="9"/>
  <c r="I150" i="9"/>
  <c r="K150" i="9" s="1"/>
  <c r="G150" i="9"/>
  <c r="B150" i="9"/>
  <c r="I149" i="9"/>
  <c r="K149" i="9" s="1"/>
  <c r="G149" i="9"/>
  <c r="B149" i="9"/>
  <c r="I148" i="9"/>
  <c r="K148" i="9" s="1"/>
  <c r="G148" i="9"/>
  <c r="B148" i="9"/>
  <c r="I147" i="9"/>
  <c r="K147" i="9" s="1"/>
  <c r="G147" i="9"/>
  <c r="B147" i="9"/>
  <c r="I146" i="9"/>
  <c r="K146" i="9" s="1"/>
  <c r="G146" i="9"/>
  <c r="B146" i="9"/>
  <c r="I145" i="9"/>
  <c r="K145" i="9" s="1"/>
  <c r="G145" i="9"/>
  <c r="B145" i="9"/>
  <c r="I144" i="9"/>
  <c r="K144" i="9" s="1"/>
  <c r="G144" i="9"/>
  <c r="B144" i="9"/>
  <c r="I143" i="9"/>
  <c r="K143" i="9" s="1"/>
  <c r="G143" i="9"/>
  <c r="B143" i="9"/>
  <c r="I142" i="9"/>
  <c r="K142" i="9" s="1"/>
  <c r="G142" i="9"/>
  <c r="B142" i="9"/>
  <c r="I141" i="9"/>
  <c r="K141" i="9" s="1"/>
  <c r="G141" i="9"/>
  <c r="B141" i="9"/>
  <c r="I140" i="9"/>
  <c r="K140" i="9" s="1"/>
  <c r="G140" i="9"/>
  <c r="B140" i="9"/>
  <c r="I139" i="9"/>
  <c r="K139" i="9" s="1"/>
  <c r="G139" i="9"/>
  <c r="B139" i="9"/>
  <c r="I138" i="9"/>
  <c r="K138" i="9" s="1"/>
  <c r="G138" i="9"/>
  <c r="B138" i="9"/>
  <c r="I137" i="9"/>
  <c r="K137" i="9" s="1"/>
  <c r="G137" i="9"/>
  <c r="B137" i="9"/>
  <c r="I136" i="9"/>
  <c r="K136" i="9" s="1"/>
  <c r="G136" i="9"/>
  <c r="B136" i="9"/>
  <c r="I135" i="9"/>
  <c r="K135" i="9" s="1"/>
  <c r="G135" i="9"/>
  <c r="B135" i="9"/>
  <c r="I134" i="9"/>
  <c r="K134" i="9" s="1"/>
  <c r="G134" i="9"/>
  <c r="B134" i="9"/>
  <c r="I133" i="9"/>
  <c r="K133" i="9" s="1"/>
  <c r="G133" i="9"/>
  <c r="B133" i="9"/>
  <c r="I132" i="9"/>
  <c r="K132" i="9" s="1"/>
  <c r="G132" i="9"/>
  <c r="B132" i="9"/>
  <c r="I131" i="9"/>
  <c r="K131" i="9" s="1"/>
  <c r="G131" i="9"/>
  <c r="B131" i="9"/>
  <c r="I130" i="9"/>
  <c r="K130" i="9" s="1"/>
  <c r="G130" i="9"/>
  <c r="B130" i="9"/>
  <c r="I129" i="9"/>
  <c r="K129" i="9" s="1"/>
  <c r="G129" i="9"/>
  <c r="B129" i="9"/>
  <c r="I128" i="9"/>
  <c r="K128" i="9" s="1"/>
  <c r="G128" i="9"/>
  <c r="B128" i="9"/>
  <c r="I127" i="9"/>
  <c r="K127" i="9" s="1"/>
  <c r="G127" i="9"/>
  <c r="B127" i="9"/>
  <c r="I126" i="9"/>
  <c r="K126" i="9" s="1"/>
  <c r="G126" i="9"/>
  <c r="B126" i="9"/>
  <c r="I125" i="9"/>
  <c r="K125" i="9" s="1"/>
  <c r="G125" i="9"/>
  <c r="B125" i="9"/>
  <c r="I124" i="9"/>
  <c r="K124" i="9" s="1"/>
  <c r="G124" i="9"/>
  <c r="B124" i="9"/>
  <c r="I123" i="9"/>
  <c r="K123" i="9" s="1"/>
  <c r="G123" i="9"/>
  <c r="B123" i="9"/>
  <c r="I122" i="9"/>
  <c r="K122" i="9" s="1"/>
  <c r="G122" i="9"/>
  <c r="B122" i="9"/>
  <c r="I121" i="9"/>
  <c r="K121" i="9" s="1"/>
  <c r="G121" i="9"/>
  <c r="B121" i="9"/>
  <c r="I120" i="9"/>
  <c r="K120" i="9" s="1"/>
  <c r="G120" i="9"/>
  <c r="B120" i="9"/>
  <c r="I119" i="9"/>
  <c r="K119" i="9" s="1"/>
  <c r="G119" i="9"/>
  <c r="B119" i="9"/>
  <c r="I118" i="9"/>
  <c r="K118" i="9" s="1"/>
  <c r="G118" i="9"/>
  <c r="B118" i="9"/>
  <c r="I117" i="9"/>
  <c r="K117" i="9" s="1"/>
  <c r="G117" i="9"/>
  <c r="B117" i="9"/>
  <c r="I116" i="9"/>
  <c r="K116" i="9" s="1"/>
  <c r="G116" i="9"/>
  <c r="B116" i="9"/>
  <c r="I115" i="9"/>
  <c r="K115" i="9" s="1"/>
  <c r="G115" i="9"/>
  <c r="B115" i="9"/>
  <c r="I114" i="9"/>
  <c r="K114" i="9" s="1"/>
  <c r="G114" i="9"/>
  <c r="B114" i="9"/>
  <c r="I113" i="9"/>
  <c r="K113" i="9" s="1"/>
  <c r="G113" i="9"/>
  <c r="B113" i="9"/>
  <c r="I112" i="9"/>
  <c r="K112" i="9" s="1"/>
  <c r="G112" i="9"/>
  <c r="B112" i="9"/>
  <c r="I111" i="9"/>
  <c r="K111" i="9" s="1"/>
  <c r="G111" i="9"/>
  <c r="B111" i="9"/>
  <c r="I110" i="9"/>
  <c r="K110" i="9" s="1"/>
  <c r="G110" i="9"/>
  <c r="B110" i="9"/>
  <c r="I109" i="9"/>
  <c r="K109" i="9" s="1"/>
  <c r="G109" i="9"/>
  <c r="B109" i="9"/>
  <c r="I108" i="9"/>
  <c r="K108" i="9" s="1"/>
  <c r="G108" i="9"/>
  <c r="B108" i="9"/>
  <c r="I107" i="9"/>
  <c r="K107" i="9" s="1"/>
  <c r="G107" i="9"/>
  <c r="B107" i="9"/>
  <c r="I106" i="9"/>
  <c r="K106" i="9" s="1"/>
  <c r="G106" i="9"/>
  <c r="B106" i="9"/>
  <c r="I105" i="9"/>
  <c r="K105" i="9" s="1"/>
  <c r="G105" i="9"/>
  <c r="B105" i="9"/>
  <c r="I104" i="9"/>
  <c r="K104" i="9" s="1"/>
  <c r="G104" i="9"/>
  <c r="B104" i="9"/>
  <c r="I103" i="9"/>
  <c r="K103" i="9" s="1"/>
  <c r="G103" i="9"/>
  <c r="B103" i="9"/>
  <c r="I102" i="9"/>
  <c r="K102" i="9" s="1"/>
  <c r="G102" i="9"/>
  <c r="B102" i="9"/>
  <c r="I101" i="9"/>
  <c r="K101" i="9" s="1"/>
  <c r="G101" i="9"/>
  <c r="B101" i="9"/>
  <c r="I100" i="9"/>
  <c r="K100" i="9" s="1"/>
  <c r="G100" i="9"/>
  <c r="B100" i="9"/>
  <c r="I99" i="9"/>
  <c r="K99" i="9" s="1"/>
  <c r="G99" i="9"/>
  <c r="B99" i="9"/>
  <c r="I98" i="9"/>
  <c r="K98" i="9" s="1"/>
  <c r="G98" i="9"/>
  <c r="B98" i="9"/>
  <c r="I97" i="9"/>
  <c r="K97" i="9" s="1"/>
  <c r="G97" i="9"/>
  <c r="B97" i="9"/>
  <c r="I96" i="9"/>
  <c r="K96" i="9" s="1"/>
  <c r="G96" i="9"/>
  <c r="B96" i="9"/>
  <c r="I95" i="9"/>
  <c r="K95" i="9" s="1"/>
  <c r="G95" i="9"/>
  <c r="B95" i="9"/>
  <c r="I94" i="9"/>
  <c r="K94" i="9" s="1"/>
  <c r="G94" i="9"/>
  <c r="B94" i="9"/>
  <c r="I93" i="9"/>
  <c r="K93" i="9" s="1"/>
  <c r="G93" i="9"/>
  <c r="B93" i="9"/>
  <c r="I92" i="9"/>
  <c r="K92" i="9" s="1"/>
  <c r="G92" i="9"/>
  <c r="B92" i="9"/>
  <c r="I91" i="9"/>
  <c r="K91" i="9" s="1"/>
  <c r="G91" i="9"/>
  <c r="B91" i="9"/>
  <c r="I90" i="9"/>
  <c r="K90" i="9" s="1"/>
  <c r="G90" i="9"/>
  <c r="B90" i="9"/>
  <c r="I89" i="9"/>
  <c r="K89" i="9" s="1"/>
  <c r="G89" i="9"/>
  <c r="B89" i="9"/>
  <c r="I88" i="9"/>
  <c r="K88" i="9" s="1"/>
  <c r="G88" i="9"/>
  <c r="B88" i="9"/>
  <c r="I87" i="9"/>
  <c r="K87" i="9" s="1"/>
  <c r="G87" i="9"/>
  <c r="B87" i="9"/>
  <c r="I86" i="9"/>
  <c r="K86" i="9" s="1"/>
  <c r="G86" i="9"/>
  <c r="B86" i="9"/>
  <c r="I85" i="9"/>
  <c r="K85" i="9" s="1"/>
  <c r="G85" i="9"/>
  <c r="B85" i="9"/>
  <c r="I84" i="9"/>
  <c r="K84" i="9" s="1"/>
  <c r="G84" i="9"/>
  <c r="B84" i="9"/>
  <c r="I83" i="9"/>
  <c r="K83" i="9" s="1"/>
  <c r="G83" i="9"/>
  <c r="B83" i="9"/>
  <c r="I82" i="9"/>
  <c r="K82" i="9" s="1"/>
  <c r="G82" i="9"/>
  <c r="B82" i="9"/>
  <c r="I81" i="9"/>
  <c r="K81" i="9" s="1"/>
  <c r="G81" i="9"/>
  <c r="B81" i="9"/>
  <c r="I80" i="9"/>
  <c r="K80" i="9" s="1"/>
  <c r="G80" i="9"/>
  <c r="B80" i="9"/>
  <c r="I79" i="9"/>
  <c r="K79" i="9" s="1"/>
  <c r="G79" i="9"/>
  <c r="B79" i="9"/>
  <c r="I78" i="9"/>
  <c r="K78" i="9" s="1"/>
  <c r="G78" i="9"/>
  <c r="B78" i="9"/>
  <c r="I77" i="9"/>
  <c r="K77" i="9" s="1"/>
  <c r="G77" i="9"/>
  <c r="B77" i="9"/>
  <c r="I76" i="9"/>
  <c r="K76" i="9" s="1"/>
  <c r="G76" i="9"/>
  <c r="B76" i="9"/>
  <c r="I75" i="9"/>
  <c r="K75" i="9" s="1"/>
  <c r="G75" i="9"/>
  <c r="B75" i="9"/>
  <c r="I74" i="9"/>
  <c r="K74" i="9" s="1"/>
  <c r="G74" i="9"/>
  <c r="B74" i="9"/>
  <c r="I73" i="9"/>
  <c r="K73" i="9" s="1"/>
  <c r="G73" i="9"/>
  <c r="B73" i="9"/>
  <c r="I72" i="9"/>
  <c r="K72" i="9" s="1"/>
  <c r="G72" i="9"/>
  <c r="B72" i="9"/>
  <c r="I71" i="9"/>
  <c r="K71" i="9" s="1"/>
  <c r="G71" i="9"/>
  <c r="B71" i="9"/>
  <c r="I70" i="9"/>
  <c r="K70" i="9" s="1"/>
  <c r="G70" i="9"/>
  <c r="B70" i="9"/>
  <c r="I69" i="9"/>
  <c r="K69" i="9" s="1"/>
  <c r="G69" i="9"/>
  <c r="B69" i="9"/>
  <c r="I68" i="9"/>
  <c r="K68" i="9" s="1"/>
  <c r="G68" i="9"/>
  <c r="B68" i="9"/>
  <c r="I67" i="9"/>
  <c r="K67" i="9" s="1"/>
  <c r="G67" i="9"/>
  <c r="B67" i="9"/>
  <c r="I66" i="9"/>
  <c r="K66" i="9" s="1"/>
  <c r="G66" i="9"/>
  <c r="B66" i="9"/>
  <c r="I65" i="9"/>
  <c r="K65" i="9" s="1"/>
  <c r="G65" i="9"/>
  <c r="B65" i="9"/>
  <c r="I64" i="9"/>
  <c r="K64" i="9" s="1"/>
  <c r="G64" i="9"/>
  <c r="B64" i="9"/>
  <c r="I63" i="9"/>
  <c r="K63" i="9" s="1"/>
  <c r="G63" i="9"/>
  <c r="B63" i="9"/>
  <c r="I62" i="9"/>
  <c r="K62" i="9" s="1"/>
  <c r="G62" i="9"/>
  <c r="B62" i="9"/>
  <c r="I61" i="9"/>
  <c r="K61" i="9" s="1"/>
  <c r="G61" i="9"/>
  <c r="B61" i="9"/>
  <c r="I60" i="9"/>
  <c r="K60" i="9" s="1"/>
  <c r="G60" i="9"/>
  <c r="B60" i="9"/>
  <c r="I59" i="9"/>
  <c r="K59" i="9" s="1"/>
  <c r="G59" i="9"/>
  <c r="B59" i="9"/>
  <c r="I58" i="9"/>
  <c r="K58" i="9" s="1"/>
  <c r="G58" i="9"/>
  <c r="B58" i="9"/>
  <c r="I57" i="9"/>
  <c r="K57" i="9" s="1"/>
  <c r="G57" i="9"/>
  <c r="B57" i="9"/>
  <c r="I56" i="9"/>
  <c r="K56" i="9" s="1"/>
  <c r="G56" i="9"/>
  <c r="B56" i="9"/>
  <c r="I55" i="9"/>
  <c r="K55" i="9" s="1"/>
  <c r="G55" i="9"/>
  <c r="B55" i="9"/>
  <c r="I54" i="9"/>
  <c r="K54" i="9" s="1"/>
  <c r="G54" i="9"/>
  <c r="B54" i="9"/>
  <c r="I53" i="9"/>
  <c r="K53" i="9" s="1"/>
  <c r="G53" i="9"/>
  <c r="B53" i="9"/>
  <c r="I52" i="9"/>
  <c r="K52" i="9" s="1"/>
  <c r="G52" i="9"/>
  <c r="B52" i="9"/>
  <c r="I51" i="9"/>
  <c r="K51" i="9" s="1"/>
  <c r="G51" i="9"/>
  <c r="B51" i="9"/>
  <c r="I50" i="9"/>
  <c r="K50" i="9" s="1"/>
  <c r="G50" i="9"/>
  <c r="B50" i="9"/>
  <c r="I49" i="9"/>
  <c r="K49" i="9" s="1"/>
  <c r="G49" i="9"/>
  <c r="B49" i="9"/>
  <c r="I48" i="9"/>
  <c r="K48" i="9" s="1"/>
  <c r="G48" i="9"/>
  <c r="B48" i="9"/>
  <c r="I47" i="9"/>
  <c r="K47" i="9" s="1"/>
  <c r="G47" i="9"/>
  <c r="B47" i="9"/>
  <c r="I46" i="9"/>
  <c r="K46" i="9" s="1"/>
  <c r="G46" i="9"/>
  <c r="B46" i="9"/>
  <c r="I45" i="9"/>
  <c r="K45" i="9" s="1"/>
  <c r="G45" i="9"/>
  <c r="B45" i="9"/>
  <c r="I44" i="9"/>
  <c r="K44" i="9" s="1"/>
  <c r="G44" i="9"/>
  <c r="B44" i="9"/>
  <c r="I43" i="9"/>
  <c r="K43" i="9" s="1"/>
  <c r="G43" i="9"/>
  <c r="B43" i="9"/>
  <c r="I42" i="9"/>
  <c r="K42" i="9" s="1"/>
  <c r="G42" i="9"/>
  <c r="B42" i="9"/>
  <c r="I41" i="9"/>
  <c r="K41" i="9" s="1"/>
  <c r="G41" i="9"/>
  <c r="B41" i="9"/>
  <c r="I40" i="9"/>
  <c r="K40" i="9" s="1"/>
  <c r="G40" i="9"/>
  <c r="B40" i="9"/>
  <c r="I39" i="9"/>
  <c r="K39" i="9" s="1"/>
  <c r="G39" i="9"/>
  <c r="B39" i="9"/>
  <c r="I38" i="9"/>
  <c r="K38" i="9" s="1"/>
  <c r="G38" i="9"/>
  <c r="B38" i="9"/>
  <c r="I37" i="9"/>
  <c r="K37" i="9" s="1"/>
  <c r="G37" i="9"/>
  <c r="B37" i="9"/>
  <c r="I36" i="9"/>
  <c r="K36" i="9" s="1"/>
  <c r="G36" i="9"/>
  <c r="B36" i="9"/>
  <c r="I35" i="9"/>
  <c r="K35" i="9" s="1"/>
  <c r="G35" i="9"/>
  <c r="B35" i="9"/>
  <c r="I34" i="9"/>
  <c r="K34" i="9" s="1"/>
  <c r="G34" i="9"/>
  <c r="B34" i="9"/>
  <c r="I33" i="9"/>
  <c r="K33" i="9" s="1"/>
  <c r="G33" i="9"/>
  <c r="B33" i="9"/>
  <c r="I32" i="9"/>
  <c r="K32" i="9" s="1"/>
  <c r="G32" i="9"/>
  <c r="B32" i="9"/>
  <c r="I31" i="9"/>
  <c r="K31" i="9" s="1"/>
  <c r="G31" i="9"/>
  <c r="B31" i="9"/>
  <c r="I30" i="9"/>
  <c r="K30" i="9" s="1"/>
  <c r="G30" i="9"/>
  <c r="B30" i="9"/>
  <c r="I29" i="9"/>
  <c r="K29" i="9" s="1"/>
  <c r="G29" i="9"/>
  <c r="B29" i="9"/>
  <c r="I28" i="9"/>
  <c r="K28" i="9" s="1"/>
  <c r="G28" i="9"/>
  <c r="B28" i="9"/>
  <c r="I27" i="9"/>
  <c r="K27" i="9" s="1"/>
  <c r="G27" i="9"/>
  <c r="B27" i="9"/>
  <c r="I26" i="9"/>
  <c r="K26" i="9" s="1"/>
  <c r="G26" i="9"/>
  <c r="B26" i="9"/>
  <c r="I25" i="9"/>
  <c r="K25" i="9" s="1"/>
  <c r="G25" i="9"/>
  <c r="B25" i="9"/>
  <c r="I24" i="9"/>
  <c r="K24" i="9" s="1"/>
  <c r="G24" i="9"/>
  <c r="B24" i="9"/>
  <c r="I23" i="9"/>
  <c r="K23" i="9" s="1"/>
  <c r="G23" i="9"/>
  <c r="B23" i="9"/>
  <c r="I22" i="9"/>
  <c r="K22" i="9" s="1"/>
  <c r="G22" i="9"/>
  <c r="B22" i="9"/>
  <c r="I21" i="9"/>
  <c r="K21" i="9" s="1"/>
  <c r="G21" i="9"/>
  <c r="B21" i="9"/>
  <c r="I20" i="9"/>
  <c r="K20" i="9" s="1"/>
  <c r="G20" i="9"/>
  <c r="B20" i="9"/>
  <c r="I19" i="9"/>
  <c r="K19" i="9" s="1"/>
  <c r="G19" i="9"/>
  <c r="B19" i="9"/>
  <c r="I18" i="9"/>
  <c r="K18" i="9" s="1"/>
  <c r="G18" i="9"/>
  <c r="B18" i="9"/>
  <c r="I17" i="9"/>
  <c r="K17" i="9" s="1"/>
  <c r="G17" i="9"/>
  <c r="B17" i="9"/>
  <c r="I16" i="9"/>
  <c r="K16" i="9" s="1"/>
  <c r="G16" i="9"/>
  <c r="B16" i="9"/>
  <c r="I15" i="9"/>
  <c r="K15" i="9" s="1"/>
  <c r="G15" i="9"/>
  <c r="B15" i="9"/>
  <c r="I14" i="9"/>
  <c r="K14" i="9" s="1"/>
  <c r="G14" i="9"/>
  <c r="B14" i="9"/>
  <c r="I13" i="9"/>
  <c r="K13" i="9" s="1"/>
  <c r="G13" i="9"/>
  <c r="B13" i="9"/>
  <c r="I12" i="9"/>
  <c r="K12" i="9" s="1"/>
  <c r="G12" i="9"/>
  <c r="B12" i="9"/>
  <c r="I11" i="9"/>
  <c r="K11" i="9" s="1"/>
  <c r="G11" i="9"/>
  <c r="B11" i="9"/>
  <c r="I10" i="9"/>
  <c r="K10" i="9" s="1"/>
  <c r="G10" i="9"/>
  <c r="B10" i="9"/>
  <c r="I9" i="9"/>
  <c r="K9" i="9" s="1"/>
  <c r="G9" i="9"/>
  <c r="B9" i="9"/>
  <c r="I8" i="9"/>
  <c r="K8" i="9" s="1"/>
  <c r="G8" i="9"/>
  <c r="B8" i="9"/>
  <c r="I7" i="9"/>
  <c r="K7" i="9" s="1"/>
  <c r="G7" i="9"/>
  <c r="B7" i="9"/>
  <c r="I6" i="9"/>
  <c r="K6" i="9" s="1"/>
  <c r="G6" i="9"/>
  <c r="B6" i="9"/>
  <c r="I5" i="9"/>
  <c r="K5" i="9" s="1"/>
  <c r="G5" i="9"/>
  <c r="B5" i="9"/>
  <c r="G4" i="9"/>
  <c r="B4" i="9"/>
  <c r="G13" i="8"/>
  <c r="G12" i="8"/>
  <c r="G11" i="8"/>
  <c r="G10" i="8"/>
  <c r="G9" i="8"/>
  <c r="G8" i="8"/>
  <c r="G7" i="8"/>
  <c r="G6" i="8"/>
  <c r="G5" i="8"/>
  <c r="G15" i="8" s="1"/>
  <c r="O8" i="6"/>
  <c r="N8" i="6"/>
  <c r="M8" i="6"/>
  <c r="L8" i="6"/>
  <c r="K8" i="6"/>
  <c r="H8" i="6"/>
  <c r="O7" i="6"/>
  <c r="N7" i="6"/>
  <c r="M7" i="6"/>
  <c r="L7" i="6"/>
  <c r="K7" i="6"/>
  <c r="H7" i="6"/>
  <c r="O6" i="6"/>
  <c r="N6" i="6"/>
  <c r="M6" i="6"/>
  <c r="L6" i="6"/>
  <c r="K6" i="6"/>
  <c r="H6" i="6"/>
  <c r="O5" i="6"/>
  <c r="N5" i="6"/>
  <c r="M5" i="6"/>
  <c r="L5" i="6"/>
  <c r="K5" i="6"/>
  <c r="H5" i="6"/>
  <c r="L4" i="6"/>
  <c r="K4" i="6"/>
  <c r="J4" i="6"/>
  <c r="O4" i="6" s="1"/>
  <c r="I4" i="6"/>
  <c r="N4" i="6" s="1"/>
  <c r="H4" i="6"/>
  <c r="M4" i="6" s="1"/>
  <c r="O3" i="6"/>
  <c r="N3" i="6"/>
  <c r="M3" i="6"/>
  <c r="L3" i="6"/>
  <c r="K3" i="6"/>
  <c r="H3" i="6"/>
  <c r="N2" i="6"/>
  <c r="M2" i="6"/>
  <c r="L2" i="6"/>
  <c r="K2" i="6"/>
  <c r="J2" i="6"/>
  <c r="O2" i="6" s="1"/>
  <c r="I2" i="6"/>
  <c r="H2" i="6"/>
  <c r="F32" i="5"/>
  <c r="G31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4" i="5"/>
  <c r="E32" i="4"/>
  <c r="F31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4" i="4"/>
  <c r="F19" i="2"/>
  <c r="F18" i="2"/>
  <c r="C14" i="2"/>
  <c r="D9" i="2"/>
  <c r="J150" i="9" l="1"/>
  <c r="J114" i="9"/>
  <c r="J93" i="9"/>
  <c r="J81" i="9"/>
  <c r="J69" i="9"/>
  <c r="J57" i="9"/>
  <c r="J48" i="9"/>
  <c r="J36" i="9"/>
  <c r="J24" i="9"/>
  <c r="J9" i="9"/>
  <c r="J7" i="9"/>
  <c r="J161" i="9"/>
  <c r="K161" i="9" s="1"/>
  <c r="R172" i="7" s="1"/>
  <c r="U172" i="7" s="1"/>
  <c r="J158" i="9"/>
  <c r="J155" i="9"/>
  <c r="J152" i="9"/>
  <c r="J149" i="9"/>
  <c r="J146" i="9"/>
  <c r="J143" i="9"/>
  <c r="J140" i="9"/>
  <c r="J137" i="9"/>
  <c r="J134" i="9"/>
  <c r="J131" i="9"/>
  <c r="J128" i="9"/>
  <c r="J125" i="9"/>
  <c r="J122" i="9"/>
  <c r="J13" i="5" s="1"/>
  <c r="J119" i="9"/>
  <c r="J116" i="9"/>
  <c r="J113" i="9"/>
  <c r="J110" i="9"/>
  <c r="J107" i="9"/>
  <c r="J104" i="9"/>
  <c r="J101" i="9"/>
  <c r="J98" i="9"/>
  <c r="J95" i="9"/>
  <c r="J92" i="9"/>
  <c r="J89" i="9"/>
  <c r="J86" i="9"/>
  <c r="J83" i="9"/>
  <c r="J80" i="9"/>
  <c r="J77" i="9"/>
  <c r="J74" i="9"/>
  <c r="J71" i="9"/>
  <c r="J68" i="9"/>
  <c r="J65" i="9"/>
  <c r="J62" i="9"/>
  <c r="J14" i="5" s="1"/>
  <c r="J59" i="9"/>
  <c r="J56" i="9"/>
  <c r="J53" i="9"/>
  <c r="J50" i="9"/>
  <c r="J47" i="9"/>
  <c r="J44" i="9"/>
  <c r="J41" i="9"/>
  <c r="J38" i="9"/>
  <c r="J35" i="9"/>
  <c r="J32" i="9"/>
  <c r="J29" i="9"/>
  <c r="J26" i="9"/>
  <c r="J23" i="9"/>
  <c r="J20" i="9"/>
  <c r="J17" i="9"/>
  <c r="J14" i="9"/>
  <c r="J11" i="9"/>
  <c r="J8" i="9"/>
  <c r="J5" i="9"/>
  <c r="J37" i="9"/>
  <c r="J28" i="9"/>
  <c r="J10" i="5" s="1"/>
  <c r="J22" i="9"/>
  <c r="J16" i="9"/>
  <c r="J10" i="9"/>
  <c r="J4" i="9"/>
  <c r="J162" i="9"/>
  <c r="K162" i="9" s="1"/>
  <c r="R173" i="7" s="1"/>
  <c r="U173" i="7" s="1"/>
  <c r="J153" i="9"/>
  <c r="J147" i="9"/>
  <c r="J138" i="9"/>
  <c r="J135" i="9"/>
  <c r="J126" i="9"/>
  <c r="J117" i="9"/>
  <c r="J108" i="9"/>
  <c r="J99" i="9"/>
  <c r="J87" i="9"/>
  <c r="J72" i="9"/>
  <c r="J66" i="9"/>
  <c r="J54" i="9"/>
  <c r="J42" i="9"/>
  <c r="J33" i="9"/>
  <c r="J21" i="9"/>
  <c r="J12" i="9"/>
  <c r="J34" i="9"/>
  <c r="J159" i="9"/>
  <c r="J141" i="9"/>
  <c r="J129" i="9"/>
  <c r="J120" i="9"/>
  <c r="J105" i="9"/>
  <c r="J11" i="5" s="1"/>
  <c r="J96" i="9"/>
  <c r="J84" i="9"/>
  <c r="J75" i="9"/>
  <c r="J60" i="9"/>
  <c r="J51" i="9"/>
  <c r="J39" i="9"/>
  <c r="J27" i="9"/>
  <c r="J15" i="9"/>
  <c r="J6" i="9"/>
  <c r="J163" i="9"/>
  <c r="K163" i="9" s="1"/>
  <c r="R174" i="7" s="1"/>
  <c r="U174" i="7" s="1"/>
  <c r="J160" i="9"/>
  <c r="K160" i="9" s="1"/>
  <c r="R171" i="7" s="1"/>
  <c r="U171" i="7" s="1"/>
  <c r="J157" i="9"/>
  <c r="J154" i="9"/>
  <c r="J151" i="9"/>
  <c r="J148" i="9"/>
  <c r="J145" i="9"/>
  <c r="J142" i="9"/>
  <c r="J139" i="9"/>
  <c r="J136" i="9"/>
  <c r="J133" i="9"/>
  <c r="J9" i="5" s="1"/>
  <c r="J130" i="9"/>
  <c r="J127" i="9"/>
  <c r="J12" i="5" s="1"/>
  <c r="J124" i="9"/>
  <c r="J121" i="9"/>
  <c r="J118" i="9"/>
  <c r="J115" i="9"/>
  <c r="J112" i="9"/>
  <c r="J109" i="9"/>
  <c r="J106" i="9"/>
  <c r="J103" i="9"/>
  <c r="J100" i="9"/>
  <c r="J97" i="9"/>
  <c r="J94" i="9"/>
  <c r="J91" i="9"/>
  <c r="J88" i="9"/>
  <c r="J85" i="9"/>
  <c r="J82" i="9"/>
  <c r="J79" i="9"/>
  <c r="J76" i="9"/>
  <c r="J73" i="9"/>
  <c r="J70" i="9"/>
  <c r="J67" i="9"/>
  <c r="J64" i="9"/>
  <c r="J61" i="9"/>
  <c r="J58" i="9"/>
  <c r="J55" i="9"/>
  <c r="J52" i="9"/>
  <c r="J15" i="5" s="1"/>
  <c r="J49" i="9"/>
  <c r="J46" i="9"/>
  <c r="J43" i="9"/>
  <c r="J40" i="9"/>
  <c r="J31" i="9"/>
  <c r="J25" i="9"/>
  <c r="J19" i="9"/>
  <c r="J13" i="9"/>
  <c r="J156" i="9"/>
  <c r="J144" i="9"/>
  <c r="J132" i="9"/>
  <c r="J123" i="9"/>
  <c r="J111" i="9"/>
  <c r="J102" i="9"/>
  <c r="J90" i="9"/>
  <c r="J78" i="9"/>
  <c r="J63" i="9"/>
  <c r="J45" i="9"/>
  <c r="J30" i="9"/>
  <c r="J18" i="9"/>
  <c r="O45" i="7"/>
  <c r="Q2" i="7"/>
  <c r="T2" i="7" s="1"/>
  <c r="B14" i="2"/>
  <c r="D14" i="2" s="1"/>
  <c r="Q17" i="7"/>
  <c r="T17" i="7" s="1"/>
  <c r="R2" i="7"/>
  <c r="U2" i="7" s="1"/>
  <c r="R77" i="7"/>
  <c r="U77" i="7" s="1"/>
  <c r="R101" i="7"/>
  <c r="U101" i="7" s="1"/>
  <c r="R89" i="7"/>
  <c r="U89" i="7" s="1"/>
  <c r="Q156" i="7"/>
  <c r="T156" i="7" s="1"/>
  <c r="R125" i="7"/>
  <c r="U125" i="7" s="1"/>
  <c r="R16" i="7"/>
  <c r="U16" i="7" s="1"/>
  <c r="J23" i="5"/>
  <c r="I23" i="4"/>
  <c r="K23" i="4" s="1"/>
  <c r="R113" i="7"/>
  <c r="U113" i="7" s="1"/>
  <c r="I14" i="4"/>
  <c r="L14" i="4" s="1"/>
  <c r="M14" i="4" s="1"/>
  <c r="R17" i="7"/>
  <c r="U17" i="7" s="1"/>
  <c r="R18" i="7"/>
  <c r="U18" i="7" s="1"/>
  <c r="R162" i="7"/>
  <c r="U162" i="7" s="1"/>
  <c r="Q16" i="7"/>
  <c r="T16" i="7" s="1"/>
  <c r="R19" i="7"/>
  <c r="U19" i="7" s="1"/>
  <c r="R28" i="7"/>
  <c r="U28" i="7" s="1"/>
  <c r="R37" i="7"/>
  <c r="U37" i="7" s="1"/>
  <c r="C9" i="2"/>
  <c r="I17" i="4"/>
  <c r="Q56" i="7"/>
  <c r="T56" i="7" s="1"/>
  <c r="R57" i="7"/>
  <c r="U57" i="7" s="1"/>
  <c r="R92" i="7"/>
  <c r="U92" i="7" s="1"/>
  <c r="R128" i="7"/>
  <c r="U128" i="7" s="1"/>
  <c r="J18" i="4"/>
  <c r="Q22" i="7"/>
  <c r="T22" i="7" s="1"/>
  <c r="I12" i="4"/>
  <c r="I21" i="4"/>
  <c r="I27" i="4"/>
  <c r="I20" i="5"/>
  <c r="R22" i="7"/>
  <c r="U22" i="7" s="1"/>
  <c r="R31" i="7"/>
  <c r="U31" i="7" s="1"/>
  <c r="O40" i="7"/>
  <c r="Q48" i="7"/>
  <c r="T48" i="7" s="1"/>
  <c r="Q59" i="7"/>
  <c r="T59" i="7" s="1"/>
  <c r="Q69" i="7"/>
  <c r="T69" i="7" s="1"/>
  <c r="Q81" i="7"/>
  <c r="T81" i="7" s="1"/>
  <c r="Q93" i="7"/>
  <c r="T93" i="7" s="1"/>
  <c r="Q105" i="7"/>
  <c r="T105" i="7" s="1"/>
  <c r="Q117" i="7"/>
  <c r="T117" i="7" s="1"/>
  <c r="Q129" i="7"/>
  <c r="T129" i="7" s="1"/>
  <c r="Q144" i="7"/>
  <c r="T144" i="7" s="1"/>
  <c r="J23" i="4"/>
  <c r="R156" i="7"/>
  <c r="U156" i="7" s="1"/>
  <c r="R68" i="7"/>
  <c r="U68" i="7" s="1"/>
  <c r="R104" i="7"/>
  <c r="U104" i="7" s="1"/>
  <c r="R141" i="7"/>
  <c r="U141" i="7" s="1"/>
  <c r="Q159" i="7"/>
  <c r="T159" i="7" s="1"/>
  <c r="R152" i="7"/>
  <c r="U152" i="7" s="1"/>
  <c r="R144" i="7"/>
  <c r="U144" i="7" s="1"/>
  <c r="Q31" i="7"/>
  <c r="T31" i="7" s="1"/>
  <c r="Q162" i="7"/>
  <c r="T162" i="7" s="1"/>
  <c r="J12" i="4"/>
  <c r="J21" i="4"/>
  <c r="J27" i="4"/>
  <c r="Q40" i="7"/>
  <c r="T40" i="7" s="1"/>
  <c r="R48" i="7"/>
  <c r="U48" i="7" s="1"/>
  <c r="R59" i="7"/>
  <c r="U59" i="7" s="1"/>
  <c r="R69" i="7"/>
  <c r="U69" i="7" s="1"/>
  <c r="R81" i="7"/>
  <c r="U81" i="7" s="1"/>
  <c r="R93" i="7"/>
  <c r="U93" i="7" s="1"/>
  <c r="R105" i="7"/>
  <c r="U105" i="7" s="1"/>
  <c r="R117" i="7"/>
  <c r="U117" i="7" s="1"/>
  <c r="R129" i="7"/>
  <c r="U129" i="7" s="1"/>
  <c r="R147" i="7"/>
  <c r="U147" i="7" s="1"/>
  <c r="J19" i="5"/>
  <c r="Q141" i="7"/>
  <c r="T141" i="7" s="1"/>
  <c r="R80" i="7"/>
  <c r="U80" i="7" s="1"/>
  <c r="R116" i="7"/>
  <c r="U116" i="7" s="1"/>
  <c r="J21" i="5"/>
  <c r="R23" i="7"/>
  <c r="U23" i="7" s="1"/>
  <c r="R50" i="7"/>
  <c r="U50" i="7" s="1"/>
  <c r="R71" i="7"/>
  <c r="U71" i="7" s="1"/>
  <c r="R95" i="7"/>
  <c r="U95" i="7" s="1"/>
  <c r="R119" i="7"/>
  <c r="U119" i="7" s="1"/>
  <c r="R164" i="7"/>
  <c r="U164" i="7" s="1"/>
  <c r="R60" i="7"/>
  <c r="U60" i="7" s="1"/>
  <c r="R134" i="7"/>
  <c r="U134" i="7" s="1"/>
  <c r="R165" i="7"/>
  <c r="U165" i="7" s="1"/>
  <c r="I10" i="4"/>
  <c r="J16" i="4"/>
  <c r="I19" i="4"/>
  <c r="I25" i="4"/>
  <c r="J17" i="5"/>
  <c r="Q53" i="7"/>
  <c r="T53" i="7" s="1"/>
  <c r="R74" i="7"/>
  <c r="U74" i="7" s="1"/>
  <c r="R86" i="7"/>
  <c r="U86" i="7" s="1"/>
  <c r="R98" i="7"/>
  <c r="U98" i="7" s="1"/>
  <c r="R110" i="7"/>
  <c r="U110" i="7" s="1"/>
  <c r="R122" i="7"/>
  <c r="U122" i="7" s="1"/>
  <c r="Q45" i="7"/>
  <c r="T45" i="7" s="1"/>
  <c r="I10" i="5"/>
  <c r="J24" i="5"/>
  <c r="R32" i="7"/>
  <c r="U32" i="7" s="1"/>
  <c r="Q60" i="7"/>
  <c r="T60" i="7" s="1"/>
  <c r="R83" i="7"/>
  <c r="U83" i="7" s="1"/>
  <c r="R107" i="7"/>
  <c r="U107" i="7" s="1"/>
  <c r="R131" i="7"/>
  <c r="U131" i="7" s="1"/>
  <c r="R24" i="7"/>
  <c r="U24" i="7" s="1"/>
  <c r="Q165" i="7"/>
  <c r="T165" i="7" s="1"/>
  <c r="Q26" i="7"/>
  <c r="T26" i="7" s="1"/>
  <c r="R53" i="7"/>
  <c r="U53" i="7" s="1"/>
  <c r="R170" i="7"/>
  <c r="U170" i="7" s="1"/>
  <c r="R35" i="7"/>
  <c r="U35" i="7" s="1"/>
  <c r="Q75" i="7"/>
  <c r="T75" i="7" s="1"/>
  <c r="Q87" i="7"/>
  <c r="T87" i="7" s="1"/>
  <c r="Q99" i="7"/>
  <c r="T99" i="7" s="1"/>
  <c r="Q111" i="7"/>
  <c r="T111" i="7" s="1"/>
  <c r="Q123" i="7"/>
  <c r="T123" i="7" s="1"/>
  <c r="R135" i="7"/>
  <c r="U135" i="7" s="1"/>
  <c r="R155" i="7"/>
  <c r="U155" i="7" s="1"/>
  <c r="J14" i="4"/>
  <c r="I28" i="5"/>
  <c r="R33" i="7"/>
  <c r="U33" i="7" s="1"/>
  <c r="R149" i="7"/>
  <c r="U149" i="7" s="1"/>
  <c r="J10" i="4"/>
  <c r="J19" i="4"/>
  <c r="J25" i="4"/>
  <c r="Q35" i="7"/>
  <c r="T35" i="7" s="1"/>
  <c r="O43" i="7"/>
  <c r="Q63" i="7"/>
  <c r="T63" i="7" s="1"/>
  <c r="Q135" i="7"/>
  <c r="T135" i="7" s="1"/>
  <c r="I22" i="5"/>
  <c r="R26" i="7"/>
  <c r="U26" i="7" s="1"/>
  <c r="Q43" i="7"/>
  <c r="T43" i="7" s="1"/>
  <c r="R63" i="7"/>
  <c r="U63" i="7" s="1"/>
  <c r="J20" i="4"/>
  <c r="J22" i="5"/>
  <c r="R27" i="7"/>
  <c r="U27" i="7" s="1"/>
  <c r="R36" i="7"/>
  <c r="U36" i="7" s="1"/>
  <c r="R44" i="7"/>
  <c r="U44" i="7" s="1"/>
  <c r="R75" i="7"/>
  <c r="U75" i="7" s="1"/>
  <c r="R87" i="7"/>
  <c r="U87" i="7" s="1"/>
  <c r="R99" i="7"/>
  <c r="U99" i="7" s="1"/>
  <c r="R111" i="7"/>
  <c r="U111" i="7" s="1"/>
  <c r="R123" i="7"/>
  <c r="U123" i="7" s="1"/>
  <c r="R137" i="7"/>
  <c r="U137" i="7" s="1"/>
  <c r="Q171" i="7"/>
  <c r="T171" i="7" s="1"/>
  <c r="I26" i="5"/>
  <c r="J28" i="5"/>
  <c r="R40" i="7"/>
  <c r="U40" i="7" s="1"/>
  <c r="Q54" i="7"/>
  <c r="T54" i="7" s="1"/>
  <c r="Q65" i="7"/>
  <c r="T65" i="7" s="1"/>
  <c r="R143" i="7"/>
  <c r="U143" i="7" s="1"/>
  <c r="Q150" i="7"/>
  <c r="T150" i="7" s="1"/>
  <c r="I24" i="5"/>
  <c r="J26" i="5"/>
  <c r="Q19" i="7"/>
  <c r="T19" i="7" s="1"/>
  <c r="Q23" i="7"/>
  <c r="T23" i="7" s="1"/>
  <c r="Q28" i="7"/>
  <c r="T28" i="7" s="1"/>
  <c r="Q32" i="7"/>
  <c r="T32" i="7" s="1"/>
  <c r="Q37" i="7"/>
  <c r="T37" i="7" s="1"/>
  <c r="Q50" i="7"/>
  <c r="T50" i="7" s="1"/>
  <c r="R54" i="7"/>
  <c r="U54" i="7" s="1"/>
  <c r="R65" i="7"/>
  <c r="U65" i="7" s="1"/>
  <c r="Q71" i="7"/>
  <c r="T71" i="7" s="1"/>
  <c r="Q77" i="7"/>
  <c r="T77" i="7" s="1"/>
  <c r="Q83" i="7"/>
  <c r="T83" i="7" s="1"/>
  <c r="Q89" i="7"/>
  <c r="T89" i="7" s="1"/>
  <c r="Q95" i="7"/>
  <c r="T95" i="7" s="1"/>
  <c r="Q101" i="7"/>
  <c r="T101" i="7" s="1"/>
  <c r="Q107" i="7"/>
  <c r="T107" i="7" s="1"/>
  <c r="Q113" i="7"/>
  <c r="T113" i="7" s="1"/>
  <c r="Q119" i="7"/>
  <c r="T119" i="7" s="1"/>
  <c r="Q125" i="7"/>
  <c r="T125" i="7" s="1"/>
  <c r="Q131" i="7"/>
  <c r="T131" i="7" s="1"/>
  <c r="Q137" i="7"/>
  <c r="T137" i="7" s="1"/>
  <c r="R150" i="7"/>
  <c r="U150" i="7" s="1"/>
  <c r="R158" i="7"/>
  <c r="U158" i="7" s="1"/>
  <c r="Q173" i="7"/>
  <c r="T173" i="7" s="1"/>
  <c r="Q170" i="7"/>
  <c r="T170" i="7" s="1"/>
  <c r="Q167" i="7"/>
  <c r="T167" i="7" s="1"/>
  <c r="Q164" i="7"/>
  <c r="T164" i="7" s="1"/>
  <c r="Q161" i="7"/>
  <c r="T161" i="7" s="1"/>
  <c r="Q158" i="7"/>
  <c r="T158" i="7" s="1"/>
  <c r="Q155" i="7"/>
  <c r="T155" i="7" s="1"/>
  <c r="Q152" i="7"/>
  <c r="T152" i="7" s="1"/>
  <c r="Q149" i="7"/>
  <c r="T149" i="7" s="1"/>
  <c r="Q146" i="7"/>
  <c r="T146" i="7" s="1"/>
  <c r="Q143" i="7"/>
  <c r="T143" i="7" s="1"/>
  <c r="Q140" i="7"/>
  <c r="T140" i="7" s="1"/>
  <c r="Q44" i="7"/>
  <c r="T44" i="7" s="1"/>
  <c r="R39" i="7"/>
  <c r="U39" i="7" s="1"/>
  <c r="O44" i="7"/>
  <c r="R169" i="7"/>
  <c r="U169" i="7" s="1"/>
  <c r="R166" i="7"/>
  <c r="U166" i="7" s="1"/>
  <c r="R163" i="7"/>
  <c r="U163" i="7" s="1"/>
  <c r="R160" i="7"/>
  <c r="U160" i="7" s="1"/>
  <c r="R157" i="7"/>
  <c r="U157" i="7" s="1"/>
  <c r="R154" i="7"/>
  <c r="U154" i="7" s="1"/>
  <c r="R151" i="7"/>
  <c r="U151" i="7" s="1"/>
  <c r="R148" i="7"/>
  <c r="U148" i="7" s="1"/>
  <c r="R145" i="7"/>
  <c r="U145" i="7" s="1"/>
  <c r="R142" i="7"/>
  <c r="U142" i="7" s="1"/>
  <c r="R139" i="7"/>
  <c r="U139" i="7" s="1"/>
  <c r="R136" i="7"/>
  <c r="U136" i="7" s="1"/>
  <c r="R133" i="7"/>
  <c r="U133" i="7" s="1"/>
  <c r="R130" i="7"/>
  <c r="U130" i="7" s="1"/>
  <c r="R127" i="7"/>
  <c r="U127" i="7" s="1"/>
  <c r="R124" i="7"/>
  <c r="U124" i="7" s="1"/>
  <c r="R121" i="7"/>
  <c r="U121" i="7" s="1"/>
  <c r="R118" i="7"/>
  <c r="U118" i="7" s="1"/>
  <c r="R115" i="7"/>
  <c r="U115" i="7" s="1"/>
  <c r="R112" i="7"/>
  <c r="U112" i="7" s="1"/>
  <c r="R109" i="7"/>
  <c r="U109" i="7" s="1"/>
  <c r="R106" i="7"/>
  <c r="U106" i="7" s="1"/>
  <c r="R103" i="7"/>
  <c r="U103" i="7" s="1"/>
  <c r="R100" i="7"/>
  <c r="U100" i="7" s="1"/>
  <c r="R97" i="7"/>
  <c r="U97" i="7" s="1"/>
  <c r="R94" i="7"/>
  <c r="U94" i="7" s="1"/>
  <c r="R91" i="7"/>
  <c r="U91" i="7" s="1"/>
  <c r="R88" i="7"/>
  <c r="U88" i="7" s="1"/>
  <c r="R85" i="7"/>
  <c r="U85" i="7" s="1"/>
  <c r="R82" i="7"/>
  <c r="U82" i="7" s="1"/>
  <c r="R79" i="7"/>
  <c r="U79" i="7" s="1"/>
  <c r="R76" i="7"/>
  <c r="U76" i="7" s="1"/>
  <c r="R73" i="7"/>
  <c r="U73" i="7" s="1"/>
  <c r="R70" i="7"/>
  <c r="U70" i="7" s="1"/>
  <c r="R67" i="7"/>
  <c r="U67" i="7" s="1"/>
  <c r="R64" i="7"/>
  <c r="U64" i="7" s="1"/>
  <c r="R61" i="7"/>
  <c r="U61" i="7" s="1"/>
  <c r="R58" i="7"/>
  <c r="U58" i="7" s="1"/>
  <c r="R55" i="7"/>
  <c r="U55" i="7" s="1"/>
  <c r="R52" i="7"/>
  <c r="U52" i="7" s="1"/>
  <c r="R49" i="7"/>
  <c r="U49" i="7" s="1"/>
  <c r="R46" i="7"/>
  <c r="U46" i="7" s="1"/>
  <c r="R41" i="7"/>
  <c r="U41" i="7" s="1"/>
  <c r="O39" i="7"/>
  <c r="Q36" i="7"/>
  <c r="T36" i="7" s="1"/>
  <c r="Q33" i="7"/>
  <c r="T33" i="7" s="1"/>
  <c r="Q30" i="7"/>
  <c r="T30" i="7" s="1"/>
  <c r="Q27" i="7"/>
  <c r="T27" i="7" s="1"/>
  <c r="Q24" i="7"/>
  <c r="T24" i="7" s="1"/>
  <c r="Q21" i="7"/>
  <c r="T21" i="7" s="1"/>
  <c r="Q18" i="7"/>
  <c r="T18" i="7" s="1"/>
  <c r="Q172" i="7"/>
  <c r="T172" i="7" s="1"/>
  <c r="Q169" i="7"/>
  <c r="T169" i="7" s="1"/>
  <c r="Q166" i="7"/>
  <c r="T166" i="7" s="1"/>
  <c r="Q163" i="7"/>
  <c r="T163" i="7" s="1"/>
  <c r="Q160" i="7"/>
  <c r="T160" i="7" s="1"/>
  <c r="Q157" i="7"/>
  <c r="T157" i="7" s="1"/>
  <c r="Q154" i="7"/>
  <c r="T154" i="7" s="1"/>
  <c r="Q151" i="7"/>
  <c r="T151" i="7" s="1"/>
  <c r="Q148" i="7"/>
  <c r="T148" i="7" s="1"/>
  <c r="Q145" i="7"/>
  <c r="T145" i="7" s="1"/>
  <c r="Q142" i="7"/>
  <c r="T142" i="7" s="1"/>
  <c r="Q139" i="7"/>
  <c r="T139" i="7" s="1"/>
  <c r="Q136" i="7"/>
  <c r="T136" i="7" s="1"/>
  <c r="Q133" i="7"/>
  <c r="T133" i="7" s="1"/>
  <c r="Q130" i="7"/>
  <c r="T130" i="7" s="1"/>
  <c r="Q127" i="7"/>
  <c r="T127" i="7" s="1"/>
  <c r="Q124" i="7"/>
  <c r="T124" i="7" s="1"/>
  <c r="Q121" i="7"/>
  <c r="T121" i="7" s="1"/>
  <c r="Q118" i="7"/>
  <c r="T118" i="7" s="1"/>
  <c r="Q115" i="7"/>
  <c r="T115" i="7" s="1"/>
  <c r="Q112" i="7"/>
  <c r="T112" i="7" s="1"/>
  <c r="Q109" i="7"/>
  <c r="T109" i="7" s="1"/>
  <c r="Q106" i="7"/>
  <c r="T106" i="7" s="1"/>
  <c r="Q103" i="7"/>
  <c r="T103" i="7" s="1"/>
  <c r="Q100" i="7"/>
  <c r="T100" i="7" s="1"/>
  <c r="Q97" i="7"/>
  <c r="T97" i="7" s="1"/>
  <c r="Q94" i="7"/>
  <c r="T94" i="7" s="1"/>
  <c r="Q91" i="7"/>
  <c r="T91" i="7" s="1"/>
  <c r="Q88" i="7"/>
  <c r="T88" i="7" s="1"/>
  <c r="Q85" i="7"/>
  <c r="T85" i="7" s="1"/>
  <c r="Q82" i="7"/>
  <c r="T82" i="7" s="1"/>
  <c r="Q79" i="7"/>
  <c r="T79" i="7" s="1"/>
  <c r="Q76" i="7"/>
  <c r="T76" i="7" s="1"/>
  <c r="Q73" i="7"/>
  <c r="T73" i="7" s="1"/>
  <c r="Q70" i="7"/>
  <c r="T70" i="7" s="1"/>
  <c r="Q67" i="7"/>
  <c r="T67" i="7" s="1"/>
  <c r="Q64" i="7"/>
  <c r="T64" i="7" s="1"/>
  <c r="Q61" i="7"/>
  <c r="T61" i="7" s="1"/>
  <c r="Q58" i="7"/>
  <c r="T58" i="7" s="1"/>
  <c r="Q55" i="7"/>
  <c r="T55" i="7" s="1"/>
  <c r="Q52" i="7"/>
  <c r="T52" i="7" s="1"/>
  <c r="Q49" i="7"/>
  <c r="T49" i="7" s="1"/>
  <c r="Q46" i="7"/>
  <c r="T46" i="7" s="1"/>
  <c r="Q41" i="7"/>
  <c r="T41" i="7" s="1"/>
  <c r="I27" i="5"/>
  <c r="I25" i="5"/>
  <c r="I23" i="5"/>
  <c r="I21" i="5"/>
  <c r="I19" i="5"/>
  <c r="I17" i="5"/>
  <c r="I15" i="5"/>
  <c r="I13" i="5"/>
  <c r="I11" i="5"/>
  <c r="I9" i="5"/>
  <c r="K9" i="5" s="1"/>
  <c r="I28" i="4"/>
  <c r="I26" i="4"/>
  <c r="I24" i="4"/>
  <c r="I22" i="4"/>
  <c r="I20" i="4"/>
  <c r="I18" i="4"/>
  <c r="I16" i="4"/>
  <c r="R43" i="7"/>
  <c r="U43" i="7" s="1"/>
  <c r="O41" i="7"/>
  <c r="I9" i="4"/>
  <c r="J20" i="5"/>
  <c r="R45" i="7"/>
  <c r="U45" i="7" s="1"/>
  <c r="R56" i="7"/>
  <c r="U56" i="7" s="1"/>
  <c r="Q66" i="7"/>
  <c r="T66" i="7" s="1"/>
  <c r="Q72" i="7"/>
  <c r="T72" i="7" s="1"/>
  <c r="Q78" i="7"/>
  <c r="T78" i="7" s="1"/>
  <c r="Q84" i="7"/>
  <c r="T84" i="7" s="1"/>
  <c r="Q90" i="7"/>
  <c r="T90" i="7" s="1"/>
  <c r="Q96" i="7"/>
  <c r="T96" i="7" s="1"/>
  <c r="Q102" i="7"/>
  <c r="T102" i="7" s="1"/>
  <c r="Q108" i="7"/>
  <c r="T108" i="7" s="1"/>
  <c r="Q114" i="7"/>
  <c r="T114" i="7" s="1"/>
  <c r="Q120" i="7"/>
  <c r="T120" i="7" s="1"/>
  <c r="Q126" i="7"/>
  <c r="T126" i="7" s="1"/>
  <c r="Q132" i="7"/>
  <c r="T132" i="7" s="1"/>
  <c r="Q138" i="7"/>
  <c r="T138" i="7" s="1"/>
  <c r="R159" i="7"/>
  <c r="U159" i="7" s="1"/>
  <c r="R167" i="7"/>
  <c r="U167" i="7" s="1"/>
  <c r="Q174" i="7"/>
  <c r="T174" i="7" s="1"/>
  <c r="Q20" i="7"/>
  <c r="T20" i="7" s="1"/>
  <c r="Q25" i="7"/>
  <c r="T25" i="7" s="1"/>
  <c r="Q29" i="7"/>
  <c r="T29" i="7" s="1"/>
  <c r="Q34" i="7"/>
  <c r="T34" i="7" s="1"/>
  <c r="Q38" i="7"/>
  <c r="T38" i="7" s="1"/>
  <c r="Q42" i="7"/>
  <c r="T42" i="7" s="1"/>
  <c r="Q51" i="7"/>
  <c r="T51" i="7" s="1"/>
  <c r="Q62" i="7"/>
  <c r="T62" i="7" s="1"/>
  <c r="R66" i="7"/>
  <c r="U66" i="7" s="1"/>
  <c r="R72" i="7"/>
  <c r="U72" i="7" s="1"/>
  <c r="R78" i="7"/>
  <c r="U78" i="7" s="1"/>
  <c r="R84" i="7"/>
  <c r="U84" i="7" s="1"/>
  <c r="R90" i="7"/>
  <c r="U90" i="7" s="1"/>
  <c r="R96" i="7"/>
  <c r="U96" i="7" s="1"/>
  <c r="R102" i="7"/>
  <c r="U102" i="7" s="1"/>
  <c r="R108" i="7"/>
  <c r="U108" i="7" s="1"/>
  <c r="R114" i="7"/>
  <c r="U114" i="7" s="1"/>
  <c r="R120" i="7"/>
  <c r="U120" i="7" s="1"/>
  <c r="R126" i="7"/>
  <c r="U126" i="7" s="1"/>
  <c r="R132" i="7"/>
  <c r="U132" i="7" s="1"/>
  <c r="R138" i="7"/>
  <c r="U138" i="7" s="1"/>
  <c r="R146" i="7"/>
  <c r="U146" i="7" s="1"/>
  <c r="Q153" i="7"/>
  <c r="T153" i="7" s="1"/>
  <c r="I15" i="4"/>
  <c r="J24" i="4"/>
  <c r="I14" i="5"/>
  <c r="J16" i="5"/>
  <c r="J27" i="5"/>
  <c r="R20" i="7"/>
  <c r="U20" i="7" s="1"/>
  <c r="R25" i="7"/>
  <c r="U25" i="7" s="1"/>
  <c r="R29" i="7"/>
  <c r="U29" i="7" s="1"/>
  <c r="R34" i="7"/>
  <c r="U34" i="7" s="1"/>
  <c r="R38" i="7"/>
  <c r="U38" i="7" s="1"/>
  <c r="R42" i="7"/>
  <c r="U42" i="7" s="1"/>
  <c r="Q47" i="7"/>
  <c r="T47" i="7" s="1"/>
  <c r="R51" i="7"/>
  <c r="U51" i="7" s="1"/>
  <c r="R62" i="7"/>
  <c r="U62" i="7" s="1"/>
  <c r="R153" i="7"/>
  <c r="U153" i="7" s="1"/>
  <c r="R161" i="7"/>
  <c r="U161" i="7" s="1"/>
  <c r="Q168" i="7"/>
  <c r="T168" i="7" s="1"/>
  <c r="I11" i="4"/>
  <c r="I13" i="4"/>
  <c r="J17" i="4"/>
  <c r="J28" i="4"/>
  <c r="I18" i="5"/>
  <c r="O42" i="7"/>
  <c r="J9" i="4"/>
  <c r="J11" i="4"/>
  <c r="J13" i="4"/>
  <c r="J15" i="4"/>
  <c r="J26" i="4"/>
  <c r="I16" i="5"/>
  <c r="J18" i="5"/>
  <c r="J22" i="4"/>
  <c r="I12" i="5"/>
  <c r="J25" i="5"/>
  <c r="R21" i="7"/>
  <c r="U21" i="7" s="1"/>
  <c r="R30" i="7"/>
  <c r="U30" i="7" s="1"/>
  <c r="Q39" i="7"/>
  <c r="T39" i="7" s="1"/>
  <c r="R47" i="7"/>
  <c r="U47" i="7" s="1"/>
  <c r="Q57" i="7"/>
  <c r="T57" i="7" s="1"/>
  <c r="Q68" i="7"/>
  <c r="T68" i="7" s="1"/>
  <c r="Q74" i="7"/>
  <c r="T74" i="7" s="1"/>
  <c r="Q80" i="7"/>
  <c r="T80" i="7" s="1"/>
  <c r="Q86" i="7"/>
  <c r="T86" i="7" s="1"/>
  <c r="Q92" i="7"/>
  <c r="T92" i="7" s="1"/>
  <c r="Q98" i="7"/>
  <c r="T98" i="7" s="1"/>
  <c r="Q104" i="7"/>
  <c r="T104" i="7" s="1"/>
  <c r="Q110" i="7"/>
  <c r="T110" i="7" s="1"/>
  <c r="Q116" i="7"/>
  <c r="T116" i="7" s="1"/>
  <c r="Q122" i="7"/>
  <c r="T122" i="7" s="1"/>
  <c r="Q128" i="7"/>
  <c r="T128" i="7" s="1"/>
  <c r="Q134" i="7"/>
  <c r="T134" i="7" s="1"/>
  <c r="R140" i="7"/>
  <c r="U140" i="7" s="1"/>
  <c r="Q147" i="7"/>
  <c r="T147" i="7" s="1"/>
  <c r="R168" i="7"/>
  <c r="U168" i="7" s="1"/>
  <c r="L23" i="4" l="1"/>
  <c r="M23" i="4" s="1"/>
  <c r="K14" i="4"/>
  <c r="G17" i="8"/>
  <c r="L10" i="4"/>
  <c r="M10" i="4" s="1"/>
  <c r="K10" i="4"/>
  <c r="L22" i="5"/>
  <c r="M22" i="5" s="1"/>
  <c r="K22" i="5"/>
  <c r="L14" i="5"/>
  <c r="M14" i="5" s="1"/>
  <c r="K14" i="5"/>
  <c r="L16" i="4"/>
  <c r="M16" i="4" s="1"/>
  <c r="K16" i="4"/>
  <c r="L19" i="5"/>
  <c r="M19" i="5" s="1"/>
  <c r="K19" i="5"/>
  <c r="L15" i="4"/>
  <c r="M15" i="4" s="1"/>
  <c r="K15" i="4"/>
  <c r="L18" i="4"/>
  <c r="M18" i="4" s="1"/>
  <c r="K18" i="4"/>
  <c r="L21" i="5"/>
  <c r="M21" i="5" s="1"/>
  <c r="K21" i="5"/>
  <c r="L20" i="4"/>
  <c r="M20" i="4" s="1"/>
  <c r="K20" i="4"/>
  <c r="K23" i="5"/>
  <c r="L23" i="5"/>
  <c r="M23" i="5" s="1"/>
  <c r="K27" i="4"/>
  <c r="L27" i="4"/>
  <c r="M27" i="4" s="1"/>
  <c r="L22" i="4"/>
  <c r="M22" i="4" s="1"/>
  <c r="K22" i="4"/>
  <c r="L25" i="5"/>
  <c r="M25" i="5" s="1"/>
  <c r="K25" i="5"/>
  <c r="L25" i="4"/>
  <c r="M25" i="4" s="1"/>
  <c r="K25" i="4"/>
  <c r="L21" i="4"/>
  <c r="M21" i="4" s="1"/>
  <c r="K21" i="4"/>
  <c r="L18" i="5"/>
  <c r="M18" i="5" s="1"/>
  <c r="K18" i="5"/>
  <c r="K24" i="4"/>
  <c r="L24" i="4"/>
  <c r="M24" i="4" s="1"/>
  <c r="K27" i="5"/>
  <c r="L27" i="5"/>
  <c r="M27" i="5" s="1"/>
  <c r="L26" i="5"/>
  <c r="M26" i="5" s="1"/>
  <c r="K26" i="5"/>
  <c r="L19" i="4"/>
  <c r="M19" i="4" s="1"/>
  <c r="K19" i="4"/>
  <c r="L12" i="4"/>
  <c r="M12" i="4" s="1"/>
  <c r="K12" i="4"/>
  <c r="L26" i="4"/>
  <c r="M26" i="4" s="1"/>
  <c r="K26" i="4"/>
  <c r="L10" i="5"/>
  <c r="M10" i="5" s="1"/>
  <c r="K10" i="5"/>
  <c r="K12" i="5"/>
  <c r="L12" i="5"/>
  <c r="M12" i="5" s="1"/>
  <c r="K28" i="4"/>
  <c r="L28" i="4"/>
  <c r="M28" i="4" s="1"/>
  <c r="L13" i="4"/>
  <c r="M13" i="4" s="1"/>
  <c r="K13" i="4"/>
  <c r="L9" i="5"/>
  <c r="L24" i="5"/>
  <c r="M24" i="5" s="1"/>
  <c r="K24" i="5"/>
  <c r="K28" i="5"/>
  <c r="L28" i="5"/>
  <c r="M28" i="5" s="1"/>
  <c r="L11" i="4"/>
  <c r="M11" i="4" s="1"/>
  <c r="K11" i="4"/>
  <c r="L11" i="5"/>
  <c r="M11" i="5" s="1"/>
  <c r="K11" i="5"/>
  <c r="K16" i="5"/>
  <c r="L16" i="5"/>
  <c r="M16" i="5" s="1"/>
  <c r="L9" i="4"/>
  <c r="K9" i="4"/>
  <c r="K13" i="5"/>
  <c r="L13" i="5"/>
  <c r="M13" i="5" s="1"/>
  <c r="K15" i="5"/>
  <c r="L15" i="5"/>
  <c r="M15" i="5" s="1"/>
  <c r="L17" i="5"/>
  <c r="M17" i="5" s="1"/>
  <c r="K17" i="5"/>
  <c r="K20" i="5"/>
  <c r="L20" i="5"/>
  <c r="M20" i="5" s="1"/>
  <c r="K17" i="4"/>
  <c r="L17" i="4"/>
  <c r="M17" i="4" s="1"/>
  <c r="L29" i="4" l="1"/>
  <c r="C6" i="2" s="1"/>
  <c r="M9" i="4"/>
  <c r="M29" i="4" s="1"/>
  <c r="D6" i="2" s="1"/>
  <c r="L29" i="5"/>
  <c r="C7" i="2" s="1"/>
  <c r="C8" i="2" s="1"/>
  <c r="M9" i="5"/>
  <c r="M29" i="5" s="1"/>
  <c r="D7" i="2" s="1"/>
  <c r="E7" i="2" l="1"/>
  <c r="F7" i="2" s="1"/>
  <c r="E6" i="2"/>
  <c r="F6" i="2" s="1"/>
  <c r="D10" i="2"/>
  <c r="C10" i="2"/>
  <c r="C19" i="2" l="1"/>
  <c r="D19" i="2" s="1"/>
  <c r="C18" i="2"/>
  <c r="D18" i="2" s="1"/>
  <c r="E10" i="2"/>
  <c r="F1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8" authorId="0" shapeId="0" xr:uid="{00000000-0006-0000-0100-000002000000}">
      <text>
        <r>
          <rPr>
            <sz val="10"/>
            <rFont val="Arial"/>
            <family val="2"/>
          </rPr>
          <t>Bench loading rate. Default 5%. Adjustable 5%-10%.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R1" authorId="0" shapeId="0" xr:uid="{00000000-0006-0000-0500-000001000000}">
      <text>
        <r>
          <rPr>
            <sz val="10"/>
            <rFont val="Arial"/>
            <family val="2"/>
          </rPr>
          <t>Normalization factor applied to all verticals except TMT and RCM (which use actual rates).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<sst xmlns="http://schemas.openxmlformats.org/spreadsheetml/2006/main" count="1654" uniqueCount="663">
  <si>
    <t>Rate Card &amp; Margin Calculator  —  Tool Overview</t>
  </si>
  <si>
    <t>✅  Rates Updated  —  Master File – Rate Card reflects the latest approved billing rates.</t>
  </si>
  <si>
    <t>About each sheet</t>
  </si>
  <si>
    <t>Margin_Summary</t>
  </si>
  <si>
    <t xml:space="preserve">Combines Onshore + Offshore outputs to show Total Cost, Total Revenue, and CM% by stream.It will also provide a warning if PM efforts were not taken. Also runs 2 what-if simulations at target CM levels. </t>
  </si>
  <si>
    <t>Governance</t>
  </si>
  <si>
    <t>Stores the approval matrix and 3 configurable threshold cells (low/high revenue, CM%). Update these values and the entire approval logic refreshes automatically. No formula editing required.</t>
  </si>
  <si>
    <t>Revenue &amp; Cost Calculator  (Onshore)</t>
  </si>
  <si>
    <t>Build your onshore team: select role → category auto-fills, headcount, months, and billability. Total cost and revenue calculate automatically per resource and in aggregate.</t>
  </si>
  <si>
    <t>Revenue &amp; Cost Calculator  (Offshore)</t>
  </si>
  <si>
    <t>Same as Onshore but for offshore resources. Pulls rates in USD from the Master File. Feeds directly into the Margin Simulator.</t>
  </si>
  <si>
    <t>Master File – Rate Card</t>
  </si>
  <si>
    <t xml:space="preserve">Central rate library with 160+ roles (onshore &amp; offshore). Contains cost per hour, annual CTC, and billing rates. </t>
  </si>
  <si>
    <t xml:space="preserve">Vertical-Based GM Calculation  </t>
  </si>
  <si>
    <t>Select a Project Vertical (TMT / RAI / RCM / HLS–CI / ME / Others / HLS–Analytics) and Gross Margin % auto-derives from the reference conversion table. Works for Total, Offshore, and Onshore GM separately.</t>
  </si>
  <si>
    <t>List</t>
  </si>
  <si>
    <t>his sheet contains the filtered list of records used as the reference dataset for performing VLOOKUP operations and mapping relevant values.</t>
  </si>
  <si>
    <t xml:space="preserve">  Quick-Start Steps</t>
  </si>
  <si>
    <t>Step 1 — Set project name and Verticle</t>
  </si>
  <si>
    <t>Type the project name in Margin Simulator cell C3 and Project verticle in C4. It syncs automatically to both calculator sheets.</t>
  </si>
  <si>
    <t>Step 2 — Build Onshore team</t>
  </si>
  <si>
    <t>Go to Revenue &amp; Cost_Onshore. Select Category → Role for each resource. Enter headcount, months, billability.</t>
  </si>
  <si>
    <t>Step 3 — Build Offshore team</t>
  </si>
  <si>
    <t>Go to Revenue &amp; Cost_Offshore. Same process as Onshore.</t>
  </si>
  <si>
    <t>Step 4 — Review Simulator</t>
  </si>
  <si>
    <t>Open Margin Simulator. Total Cost, Revenue, and CM% are populated automatically.</t>
  </si>
  <si>
    <t>Step 5 — Select Vertical</t>
  </si>
  <si>
    <t>Choose the Project Vertical from the C4 dropdown. Offshore GM, Onshore GM, and Total GM populate instantly.</t>
  </si>
  <si>
    <t>Step 6 — Check Approvals</t>
  </si>
  <si>
    <t>The Required Approval Authority in row 9 updates based on the calculated revenue and CM%.</t>
  </si>
  <si>
    <t>Step 7 — Run Simulations</t>
  </si>
  <si>
    <t>Adjust the yellow Target CM% cells in rows 13–15 to test different margin scenarios.</t>
  </si>
  <si>
    <t>💰 Margin CALCULATOR FY25-26</t>
  </si>
  <si>
    <t>Project Name:</t>
  </si>
  <si>
    <t xml:space="preserve">Abc </t>
  </si>
  <si>
    <t>Project Vertical:</t>
  </si>
  <si>
    <t>RCM</t>
  </si>
  <si>
    <t>← Select Vertical to auto-populate Gross Margin (GM)</t>
  </si>
  <si>
    <t>Total Cost</t>
  </si>
  <si>
    <t>Total Revenue</t>
  </si>
  <si>
    <t>CM (%)</t>
  </si>
  <si>
    <t>Projected GM (%)</t>
  </si>
  <si>
    <t>Onshore</t>
  </si>
  <si>
    <t>Offshore</t>
  </si>
  <si>
    <t>Bench loading rate (Default 5%. Adjustable between 5%-10%)</t>
  </si>
  <si>
    <t>Bench %:</t>
  </si>
  <si>
    <t>IP_Product Cost</t>
  </si>
  <si>
    <t>Total</t>
  </si>
  <si>
    <t>⚠️  Program Management (PM) Check</t>
  </si>
  <si>
    <t>Total FTEs (Onshore+Offshore)</t>
  </si>
  <si>
    <t>PM Role Detected?</t>
  </si>
  <si>
    <t>Warning</t>
  </si>
  <si>
    <t>IMP - Margin Simulations - Change CM to view Projected Revenue &amp; GM - Cost does not change</t>
  </si>
  <si>
    <t>Implied Cost</t>
  </si>
  <si>
    <t>Projected Revenue</t>
  </si>
  <si>
    <t>Target CM (%)</t>
  </si>
  <si>
    <t>Simulation 1</t>
  </si>
  <si>
    <t>Simulation 2</t>
  </si>
  <si>
    <t xml:space="preserve">  🔵 Blue = User Input</t>
  </si>
  <si>
    <t xml:space="preserve">  ⚫ Black = Auto-Calculated</t>
  </si>
  <si>
    <t xml:space="preserve">  🟡 Yellow = Key Assumption</t>
  </si>
  <si>
    <t xml:space="preserve">  🟢 Green = Cross-Sheet Ref</t>
  </si>
  <si>
    <t>📋 Revenue-Based Approval &amp; Governance Matrix</t>
  </si>
  <si>
    <t>📄 Deal Approval Matrix</t>
  </si>
  <si>
    <t>Deal Value / Revenue</t>
  </si>
  <si>
    <t>GM Condition</t>
  </si>
  <si>
    <t>Required Approval Authority</t>
  </si>
  <si>
    <t>&lt; $250,000</t>
  </si>
  <si>
    <t>Any GM</t>
  </si>
  <si>
    <t>Delivery Lead / Practice Lead + Sales Lead</t>
  </si>
  <si>
    <t>$250,000 – $1,000,000</t>
  </si>
  <si>
    <t>GM ≥ 50%</t>
  </si>
  <si>
    <t>Delivery Lead / Practice Lead + BU Head + Sales Lead</t>
  </si>
  <si>
    <t>GM &lt; 50%</t>
  </si>
  <si>
    <t>Delivery Lead / Practice Lead + BU Head + Sales Lead + Leadership Review</t>
  </si>
  <si>
    <t>&gt; $1,000,000</t>
  </si>
  <si>
    <t>Delivery Lead / Practice Lead + BU Head + Sales Lead + Leadership Approval</t>
  </si>
  <si>
    <t xml:space="preserve">Configurable Thresholds </t>
  </si>
  <si>
    <t>Parameter</t>
  </si>
  <si>
    <t>Value</t>
  </si>
  <si>
    <t>Low Revenue Threshold ($)</t>
  </si>
  <si>
    <t>High Revenue Threshold ($)</t>
  </si>
  <si>
    <t>GM Threshold  (e.g. 0.5 = 50%)</t>
  </si>
  <si>
    <t>💰 Onshore REVENUE &amp; COST CALCULATOR</t>
  </si>
  <si>
    <t>Hours/Month:</t>
  </si>
  <si>
    <t xml:space="preserve"> Onshore CM%:</t>
  </si>
  <si>
    <t>Expected GM%:</t>
  </si>
  <si>
    <t xml:space="preserve">←Do not change this </t>
  </si>
  <si>
    <t>#</t>
  </si>
  <si>
    <t>Category</t>
  </si>
  <si>
    <t>Role</t>
  </si>
  <si>
    <t>Experience</t>
  </si>
  <si>
    <t># People</t>
  </si>
  <si>
    <t># Months</t>
  </si>
  <si>
    <t>Billability
%</t>
  </si>
  <si>
    <t>Cost
$/Hr</t>
  </si>
  <si>
    <t>Annual CTC ($)</t>
  </si>
  <si>
    <t>Rate per hour ($)</t>
  </si>
  <si>
    <t>Total Cost
(USD)</t>
  </si>
  <si>
    <t>Total Revenue
(USD)</t>
  </si>
  <si>
    <t>Notes</t>
  </si>
  <si>
    <t>Engineering &amp; Quality</t>
  </si>
  <si>
    <t>Data Engineer / Data Modeler 1 | 2-3 Years</t>
  </si>
  <si>
    <t>PROJECT TOTALS - Onshore</t>
  </si>
  <si>
    <t xml:space="preserve">Total Resources: </t>
  </si>
  <si>
    <t>📝  HOW TO USE:  1) Select Category (Col B) → Role auto-populates dropdown (Col C)  |   2) Enter # People, # Months, Billability %  |  3) Rate &amp; Revenue auto-calculate</t>
  </si>
  <si>
    <t xml:space="preserve">  Blue = User Input</t>
  </si>
  <si>
    <t xml:space="preserve">  Black = Auto-Calculated</t>
  </si>
  <si>
    <t xml:space="preserve">  Yellow = Key Assumption</t>
  </si>
  <si>
    <t>💰  OFFSHORE REVENUE &amp; COST CALCULATOR</t>
  </si>
  <si>
    <t>Offshore CM %:</t>
  </si>
  <si>
    <t>Expected GM %:</t>
  </si>
  <si>
    <t>Rate
$/Hr</t>
  </si>
  <si>
    <t>PROJECT TOTALS Offshore</t>
  </si>
  <si>
    <t>📝  HOW TO USE:  1) Select Category (Col B) → Role auto-populates dropdown (Col C)  |   2) Enter # People, # Months, Billability %  |  3) Rate, Cost &amp; Revenue auto-calculated</t>
  </si>
  <si>
    <t>Vertical</t>
  </si>
  <si>
    <t>Total CM (Ref)</t>
  </si>
  <si>
    <t>Total GM (Ref)</t>
  </si>
  <si>
    <t>Offshore CM (Ref)</t>
  </si>
  <si>
    <t>Offshore GM (Ref)</t>
  </si>
  <si>
    <t>Onshore CM (Ref)</t>
  </si>
  <si>
    <t>Onshore GM (Ref)</t>
  </si>
  <si>
    <t>Total GM Ratio</t>
  </si>
  <si>
    <t>Offshore GM Ratio</t>
  </si>
  <si>
    <t>Onshore GM Ratio</t>
  </si>
  <si>
    <t>Normalized GM Ratio</t>
  </si>
  <si>
    <t>Normalized Offshore GM Ratio</t>
  </si>
  <si>
    <t>Normalized Onshore GM Ratio</t>
  </si>
  <si>
    <t>Normalization Factor</t>
  </si>
  <si>
    <t>TMT</t>
  </si>
  <si>
    <t>RAI</t>
  </si>
  <si>
    <t>HLS - CI</t>
  </si>
  <si>
    <t>ME</t>
  </si>
  <si>
    <t>Others</t>
  </si>
  <si>
    <t>HLS - Analytics</t>
  </si>
  <si>
    <t>FY 25-26 Actual Data except column I &amp; J</t>
  </si>
  <si>
    <t>Actual</t>
  </si>
  <si>
    <t>Categories</t>
  </si>
  <si>
    <t>Architecture___Design</t>
  </si>
  <si>
    <t>Engineering___Quality</t>
  </si>
  <si>
    <t>Data_Science</t>
  </si>
  <si>
    <t>Program___Project_Management</t>
  </si>
  <si>
    <t>Professional_Services___Advisory</t>
  </si>
  <si>
    <t>CI</t>
  </si>
  <si>
    <t>MI</t>
  </si>
  <si>
    <t>Verticals</t>
  </si>
  <si>
    <t>Role_Exp</t>
  </si>
  <si>
    <t>Onshore_Rate</t>
  </si>
  <si>
    <t>Offshore_Rate</t>
  </si>
  <si>
    <t>Combined_Key</t>
  </si>
  <si>
    <t>Onshore_Cost/Hr</t>
  </si>
  <si>
    <t>Offshore_Cost/Hr</t>
  </si>
  <si>
    <t>IP</t>
  </si>
  <si>
    <t>Architecture &amp; Design</t>
  </si>
  <si>
    <t>Application Architect 1 | 5-10 Years</t>
  </si>
  <si>
    <t>Cloud Data Engineer 1 | 2-3 Years</t>
  </si>
  <si>
    <t>AI/ML Engineer (Core AI) | 2–3 Years</t>
  </si>
  <si>
    <t>Business Analyst 1 | 2-3 Years</t>
  </si>
  <si>
    <t>Analyst | 2-3 Years</t>
  </si>
  <si>
    <t>Competitive Intelligence Specialist 1 | 3-5 Years</t>
  </si>
  <si>
    <t>Market Research Operations 1 | 2-3 Years</t>
  </si>
  <si>
    <t>Architecture &amp; Design|||Application Architect 1 | 5-10 Years</t>
  </si>
  <si>
    <t>Agent5i</t>
  </si>
  <si>
    <t>Application Architect 2 | 10-15 Years</t>
  </si>
  <si>
    <t>Cloud Data Engineer 2 | 3-5 Years</t>
  </si>
  <si>
    <t>AI/ML Engineer (Core AI) | 3–5 Years</t>
  </si>
  <si>
    <t>Business Analyst 2 | 3-5 Years</t>
  </si>
  <si>
    <t>Jr. Consultant | 3-5 Years</t>
  </si>
  <si>
    <t>Competitive Intelligence Specialist 2 | 5-10 Years</t>
  </si>
  <si>
    <t>Market Research Operations 2 | 3-5 Years</t>
  </si>
  <si>
    <t>BrandTrax</t>
  </si>
  <si>
    <t>Data Science</t>
  </si>
  <si>
    <t>Application Architect 3 | 15+ Years</t>
  </si>
  <si>
    <t>Cloud Data Engineer 3 | 5-10 Years</t>
  </si>
  <si>
    <t>AI/ML Engineer (Core AI) | 5–7 Years</t>
  </si>
  <si>
    <t>Business Analyst 3 | 5-10 Years</t>
  </si>
  <si>
    <t>Consultant | 5-10 Years</t>
  </si>
  <si>
    <t>Market Research Operations 3 | 5-10 Years</t>
  </si>
  <si>
    <t>Compete</t>
  </si>
  <si>
    <t>Program &amp; Project Management</t>
  </si>
  <si>
    <t>BI Architect 1 | 5-10 Years</t>
  </si>
  <si>
    <t>Cloud Data Engineer 4 | 10-15 Years</t>
  </si>
  <si>
    <t>AI/ML Engineer (Core AI) | 8–10 Years</t>
  </si>
  <si>
    <t>Business Analyst 4 | 10-15 Years</t>
  </si>
  <si>
    <t>Sr. Consultant | 10-15 Years</t>
  </si>
  <si>
    <t>Market Research Operations 4 | 10-15 Years</t>
  </si>
  <si>
    <t>Discovery</t>
  </si>
  <si>
    <t>Professional Services &amp; Advisory</t>
  </si>
  <si>
    <t>BI Architect 2 | 10-15 Years</t>
  </si>
  <si>
    <t>Cloud Data Engineer 5 | 15+ Years</t>
  </si>
  <si>
    <t>AI/ML Engineer (Core AI) | 10–15 Years</t>
  </si>
  <si>
    <t>Business Analyst 5 | 15+ Years</t>
  </si>
  <si>
    <t>Sr. Consulting Partner | 15+ Years</t>
  </si>
  <si>
    <t>Primary Researcher 1 | 2-3 Years</t>
  </si>
  <si>
    <t>ForeSight</t>
  </si>
  <si>
    <t>BI Architect 3 | 15+ Years</t>
  </si>
  <si>
    <t>AI/ML Architect (Core AI) | 15+ Years</t>
  </si>
  <si>
    <t>Project Manager 1 | 2-3 Years</t>
  </si>
  <si>
    <t>Primary Researcher 2 | 3-5 Years</t>
  </si>
  <si>
    <t>Incivus</t>
  </si>
  <si>
    <t>Data Architect 1 | 5-10 Years</t>
  </si>
  <si>
    <t>Data Engineer / Data Modeler 2 | 3-5 Years</t>
  </si>
  <si>
    <t>AI Engineer (Generative AI) | 2–3 Years</t>
  </si>
  <si>
    <t>Project Manager 2 | 3-5 Years</t>
  </si>
  <si>
    <t>Primary Researcher 3 | 5-10 Years</t>
  </si>
  <si>
    <t>MDC</t>
  </si>
  <si>
    <t>Data Architect 2 | 10-15 Years</t>
  </si>
  <si>
    <t>Data Engineer / Data Modeler 3 | 5-10 Years</t>
  </si>
  <si>
    <t>AI Engineer (Generative AI) | 3–5 Years</t>
  </si>
  <si>
    <t>Project Manager 3 | 5-10 Years</t>
  </si>
  <si>
    <t>Primary Researcher 4 | 10-15 Years</t>
  </si>
  <si>
    <t>Multi-Model</t>
  </si>
  <si>
    <t>Data Architect 3 | 15+ Years</t>
  </si>
  <si>
    <t>Data Engineer / Data Modeler 4 | 10-15 Years</t>
  </si>
  <si>
    <t>AI Engineer (Generative AI) | 5–7 Years</t>
  </si>
  <si>
    <t>Project Manager 4 | 10-15 Years</t>
  </si>
  <si>
    <t>Secondary MR / MICI Analyst 1 | 2-3 Years</t>
  </si>
  <si>
    <t>Enterprise Architect 1 | 5-10 Years</t>
  </si>
  <si>
    <t>Data Engineer / Data Modeler 5 | 15+ Years</t>
  </si>
  <si>
    <t>AI Engineer (Generative AI) | 8–10 Years</t>
  </si>
  <si>
    <t>Project Manager 5 | 15+ Years</t>
  </si>
  <si>
    <t>Secondary MR / MICI Analyst 2 | 3-5 Years</t>
  </si>
  <si>
    <t>QDesign</t>
  </si>
  <si>
    <t>Enterprise Architect 2 | 10-15 Years</t>
  </si>
  <si>
    <t>Database Administrator 1 | 2-3 Years</t>
  </si>
  <si>
    <t>AI Engineer (Generative AI) | 10–15 Years</t>
  </si>
  <si>
    <t>Scrum Master 1 | 2-3 Years</t>
  </si>
  <si>
    <t>Secondary MR / MICI Analyst 3 | 5-10 Years</t>
  </si>
  <si>
    <t>Enterprise Architect 3 | 15+ Years</t>
  </si>
  <si>
    <t>Database Administrator 2 | 3-5 Years</t>
  </si>
  <si>
    <t>AI Architect (Generative AI) | 10–15 Years</t>
  </si>
  <si>
    <t>Scrum Master 2 | 3-5 Years</t>
  </si>
  <si>
    <t>Secondary MR / MICI Analyst 4 | 10-15 Years</t>
  </si>
  <si>
    <t>Information Architect 1 | 5-10 Years</t>
  </si>
  <si>
    <t>Database Administrator 3 | 5-10 Years</t>
  </si>
  <si>
    <t>AI Engineer (Agentic AI) | 2–3 Years</t>
  </si>
  <si>
    <t>Scrum Master 3 | 5-10 Years</t>
  </si>
  <si>
    <t>Information Architect 2 | 10-15 Years</t>
  </si>
  <si>
    <t>Database Administrator 4 | 10-15 Years</t>
  </si>
  <si>
    <t>AI Engineer (Agentic AI) | 3–5 Years</t>
  </si>
  <si>
    <t>Scrum Master 4 | 10-15 Years</t>
  </si>
  <si>
    <t>Information Architect 3 | 15+ Years</t>
  </si>
  <si>
    <t>Database Administrator 5 | 15+ Years</t>
  </si>
  <si>
    <t>AI Engineer (Agentic AI) | 5–7 Years</t>
  </si>
  <si>
    <t>Scrum Master 5 | 15+ Years</t>
  </si>
  <si>
    <t>Architecture &amp; Design|||Application Architect 2 | 10-15 Years</t>
  </si>
  <si>
    <t>Solution Architect 1 | 5-10 Years</t>
  </si>
  <si>
    <t>ETL Developer 1 | 2-3 Years</t>
  </si>
  <si>
    <t>AI Engineer (Agentic AI) | 8–10 Years</t>
  </si>
  <si>
    <t>Technical Program Manager 1 | 3-5 Years</t>
  </si>
  <si>
    <t>Architecture &amp; Design|||Application Architect 3 | 15+ Years</t>
  </si>
  <si>
    <t>Solution Architect 2 | 10-15 Years</t>
  </si>
  <si>
    <t>ETL Developer 2 | 3-5 Years</t>
  </si>
  <si>
    <t>AI Engineer (Agentic AI) | 10–15 Years</t>
  </si>
  <si>
    <t>Technical Program Manager 2 | 5-10 Years</t>
  </si>
  <si>
    <t>Architecture &amp; Design|||BI Architect 1 | 5-10 Years</t>
  </si>
  <si>
    <t>Solution Architect 3 | 15+ Years</t>
  </si>
  <si>
    <t>ETL Developer 3 | 5-10 Years</t>
  </si>
  <si>
    <t>AI Architect (Agentic AI) | 15+ Years</t>
  </si>
  <si>
    <t>Technical Program Manager 3 | 10-15 Years</t>
  </si>
  <si>
    <t>Architecture &amp; Design|||BI Architect 2 | 10-15 Years</t>
  </si>
  <si>
    <t>ETL Developer 4 | 10-15 Years</t>
  </si>
  <si>
    <t>AIOps 1 | 2-3 Years</t>
  </si>
  <si>
    <t>Technical Program Manager 4 | 15+ Years</t>
  </si>
  <si>
    <t>Architecture &amp; Design|||BI Architect 3 | 15+ Years</t>
  </si>
  <si>
    <t>ETL Developer 5 | 15+ Years</t>
  </si>
  <si>
    <t>AIOps 2 | 3-5 Years</t>
  </si>
  <si>
    <t>Architecture &amp; Design|||Data Architect 1 | 5-10 Years</t>
  </si>
  <si>
    <t>Graph Engineer 1 | 2-3 Years</t>
  </si>
  <si>
    <t>AIOps 3 | 5-10 Years</t>
  </si>
  <si>
    <t>Architecture &amp; Design|||Data Architect 2 | 10-15 Years</t>
  </si>
  <si>
    <t>Graph Engineer 2 | 3-5 Years</t>
  </si>
  <si>
    <t>AIOps 4 | 10-15 Years</t>
  </si>
  <si>
    <t>Architecture &amp; Design|||Data Architect 3 | 15+ Years</t>
  </si>
  <si>
    <t>Graph Engineer 3 | 5-10 Years</t>
  </si>
  <si>
    <t>AIOps 5 | 15+ Years</t>
  </si>
  <si>
    <t>Architecture &amp; Design|||Enterprise Architect 1 | 5-10 Years</t>
  </si>
  <si>
    <t>Graph Engineer 4 | 10-15 Years</t>
  </si>
  <si>
    <t>Architecture &amp; Design|||Enterprise Architect 2 | 10-15 Years</t>
  </si>
  <si>
    <t>Graph Engineer 5 | 15+ Years</t>
  </si>
  <si>
    <t>Architecture &amp; Design|||Enterprise Architect 3 | 15+ Years</t>
  </si>
  <si>
    <t>Backend End Developers 1 | 2-3 Years</t>
  </si>
  <si>
    <t>Architecture &amp; Design|||Information Architect 1 | 5-10 Years</t>
  </si>
  <si>
    <t>Backend End Developers 2 | 3-5 Years</t>
  </si>
  <si>
    <t>Architecture &amp; Design|||Information Architect 2 | 10-15 Years</t>
  </si>
  <si>
    <t>Backend End Developers 3 | 5-10 Years</t>
  </si>
  <si>
    <t>Architecture &amp; Design|||Information Architect 3 | 15+ Years</t>
  </si>
  <si>
    <t>Backend End Developers 4 | 10-15 Years</t>
  </si>
  <si>
    <t>Architecture &amp; Design|||Solution Architect 1 | 5-10 Years</t>
  </si>
  <si>
    <t>BI Developer 1 | 2-3 Years</t>
  </si>
  <si>
    <t>Architecture &amp; Design|||Solution Architect 2 | 10-15 Years</t>
  </si>
  <si>
    <t>BI Developer 2 | 3-5 Years</t>
  </si>
  <si>
    <t>Architecture &amp; Design|||Solution Architect 3 | 15+ Years</t>
  </si>
  <si>
    <t>BI Developer 3 | 5-10 Years</t>
  </si>
  <si>
    <t>Engineering &amp; Quality|||Cloud Data Engineer 1 | 2-3 Years</t>
  </si>
  <si>
    <t>BI Developer 4 | 10-15 Years</t>
  </si>
  <si>
    <t>Engineering &amp; Quality|||Cloud Data Engineer 2 | 3-5 Years</t>
  </si>
  <si>
    <t>BI Developer 5 | 15+ Years</t>
  </si>
  <si>
    <t>Engineering &amp; Quality|||Cloud Data Engineer 3 | 5-10 Years</t>
  </si>
  <si>
    <t>Data Analyst 1 | 2-3 Years</t>
  </si>
  <si>
    <t>Engineering &amp; Quality|||Cloud Data Engineer 4 | 10-15 Years</t>
  </si>
  <si>
    <t>Data Analyst 2 | 3-5 Years</t>
  </si>
  <si>
    <t>Engineering &amp; Quality|||Cloud Data Engineer 5 | 15+ Years</t>
  </si>
  <si>
    <t>Data Analyst 3 | 5-10 Years</t>
  </si>
  <si>
    <t>Engineering &amp; Quality|||Data Engineer / Data Modeler 1 | 2-3 Years</t>
  </si>
  <si>
    <t>Data Analyst 4 | 10-15 Years</t>
  </si>
  <si>
    <t>Engineering &amp; Quality|||Data Engineer / Data Modeler 2 | 3-5 Years</t>
  </si>
  <si>
    <t>Data Analyst 5 | 15+ Years</t>
  </si>
  <si>
    <t>Engineering &amp; Quality|||Data Engineer / Data Modeler 3 | 5-10 Years</t>
  </si>
  <si>
    <t>DevOps/DataOps/DevSecOps Engineer 1 | 2-3 Years</t>
  </si>
  <si>
    <t>Engineering &amp; Quality|||Data Engineer / Data Modeler 4 | 10-15 Years</t>
  </si>
  <si>
    <t>DevOps/DataOps/DevSecOps Engineer 2 | 3-5 Years</t>
  </si>
  <si>
    <t>Engineering &amp; Quality|||Data Engineer / Data Modeler 5 | 15+ Years</t>
  </si>
  <si>
    <t>DevOps/DataOps/DevSecOps Engineer 3 | 5-10 Years</t>
  </si>
  <si>
    <t>Engineering &amp; Quality|||Database Administrator 1 | 2-3 Years</t>
  </si>
  <si>
    <t>DevOps/DataOps/DevSecOps Engineer 4 | 10-15 Years</t>
  </si>
  <si>
    <t>Engineering &amp; Quality|||Database Administrator 2 | 3-5 Years</t>
  </si>
  <si>
    <t>DevOps/DataOps/DevSecOps Engineer 5 | 15+ Years</t>
  </si>
  <si>
    <t>Engineering &amp; Quality|||Database Administrator 3 | 5-10 Years</t>
  </si>
  <si>
    <t>Digital Engineering / BPM / RPA / Process Engineering 1 | 2-3 Years</t>
  </si>
  <si>
    <t>Engineering &amp; Quality|||Database Administrator 4 | 10-15 Years</t>
  </si>
  <si>
    <t>Digital Engineering / BPM / RPA / Process Engineering 2 | 3-5 Years</t>
  </si>
  <si>
    <t>Engineering &amp; Quality|||Database Administrator 5 | 15+ Years</t>
  </si>
  <si>
    <t>Digital Engineering / BPM / RPA / Process Engineering 3 | 5-10 Years</t>
  </si>
  <si>
    <t>Engineering &amp; Quality|||ETL Developer 1 | 2-3 Years</t>
  </si>
  <si>
    <t>Digital Engineering / BPM / RPA / Process Engineering 4 | 10-15 Years</t>
  </si>
  <si>
    <t>Engineering &amp; Quality|||ETL Developer 2 | 3-5 Years</t>
  </si>
  <si>
    <t>Digital Engineering / BPM / RPA / Process Engineering 5 | 15+ Years</t>
  </si>
  <si>
    <t>Engineering &amp; Quality|||ETL Developer 3 | 5-10 Years</t>
  </si>
  <si>
    <t>Front End Developers 1 | 2-3 Years</t>
  </si>
  <si>
    <t>Engineering &amp; Quality|||ETL Developer 4 | 10-15 Years</t>
  </si>
  <si>
    <t>Front End Developers 2 | 3-5 Years</t>
  </si>
  <si>
    <t>Engineering &amp; Quality|||ETL Developer 5 | 15+ Years</t>
  </si>
  <si>
    <t>Front End Developers 3 | 5-10 Years</t>
  </si>
  <si>
    <t>Engineering &amp; Quality|||Graph Engineer 1 | 2-3 Years</t>
  </si>
  <si>
    <t>Front End Developers 4 | 10-15 Years</t>
  </si>
  <si>
    <t>Engineering &amp; Quality|||Graph Engineer 2 | 3-5 Years</t>
  </si>
  <si>
    <t>Full Stack Developers 1 | 2-3 Years</t>
  </si>
  <si>
    <t>Engineering &amp; Quality|||Graph Engineer 3 | 5-10 Years</t>
  </si>
  <si>
    <t>Full Stack Developers 2 | 3-5 Years</t>
  </si>
  <si>
    <t>Engineering &amp; Quality|||Graph Engineer 4 | 10-15 Years</t>
  </si>
  <si>
    <t>Full Stack Developers 3 | 5-10 Years</t>
  </si>
  <si>
    <t>Engineering &amp; Quality|||Graph Engineer 5 | 15+ Years</t>
  </si>
  <si>
    <t>Full Stack Developers 4 | 10-15 Years</t>
  </si>
  <si>
    <t>Engineering &amp; Quality|||Backend End Developers 1 | 2-3 Years</t>
  </si>
  <si>
    <t>Microsoft App Development 1 | 5-10 Years</t>
  </si>
  <si>
    <t>Engineering &amp; Quality|||Backend End Developers 2 | 3-5 Years</t>
  </si>
  <si>
    <t>Motion Graphics and Videos 1 | 2-3 Years</t>
  </si>
  <si>
    <t>Engineering &amp; Quality|||Backend End Developers 3 | 5-10 Years</t>
  </si>
  <si>
    <t>Motion Graphics and Videos 2 | 3-5 Years</t>
  </si>
  <si>
    <t>Engineering &amp; Quality|||Backend End Developers 4 | 10-15 Years</t>
  </si>
  <si>
    <t>Motion Graphics and Videos 3 | 5-10 Years</t>
  </si>
  <si>
    <t>Engineering &amp; Quality|||BI Developer 1 | 2-3 Years</t>
  </si>
  <si>
    <t>Presentation and Graphic Design 1 | 2-3 Years</t>
  </si>
  <si>
    <t>Engineering &amp; Quality|||BI Developer 2 | 3-5 Years</t>
  </si>
  <si>
    <t>Presentation and Graphic Design 2 | 3-5 Years</t>
  </si>
  <si>
    <t>Engineering &amp; Quality|||BI Developer 3 | 5-10 Years</t>
  </si>
  <si>
    <t>Presentation and Graphic Design 3 | 5-10 Years</t>
  </si>
  <si>
    <t>Engineering &amp; Quality|||BI Developer 4 | 10-15 Years</t>
  </si>
  <si>
    <t>Quality Engineer 1 | 2-3 Years</t>
  </si>
  <si>
    <t>Engineering &amp; Quality|||BI Developer 5 | 15+ Years</t>
  </si>
  <si>
    <t>Quality Engineer 2 | 3-5 Years</t>
  </si>
  <si>
    <t>Engineering &amp; Quality|||Data Analyst 1 | 2-3 Years</t>
  </si>
  <si>
    <t>Quality Engineer 3 | 5-10 Years</t>
  </si>
  <si>
    <t>Engineering &amp; Quality|||Data Analyst 2 | 3-5 Years</t>
  </si>
  <si>
    <t>Quality Engineer 4 | 10-15 Years</t>
  </si>
  <si>
    <t>Engineering &amp; Quality|||Data Analyst 3 | 5-10 Years</t>
  </si>
  <si>
    <t>Quality Engineer 5 | 15+ Years</t>
  </si>
  <si>
    <t>Engineering &amp; Quality|||Data Analyst 4 | 10-15 Years</t>
  </si>
  <si>
    <t>Tech Program Managers / Product Manager 1 | 5-10 Years</t>
  </si>
  <si>
    <t>Engineering &amp; Quality|||Data Analyst 5 | 15+ Years</t>
  </si>
  <si>
    <t>Tech Program Managers / Product Manager 2 | 10-15 Years</t>
  </si>
  <si>
    <t>Engineering &amp; Quality|||DevOps/DataOps/DevSecOps Engineer 1 | 2-3 Years</t>
  </si>
  <si>
    <t>Testing / QA / UAT 1 | 2-3 Years</t>
  </si>
  <si>
    <t>Engineering &amp; Quality|||DevOps/DataOps/DevSecOps Engineer 2 | 3-5 Years</t>
  </si>
  <si>
    <t>Testing / QA / UAT 2 | 3-5 Years</t>
  </si>
  <si>
    <t>Engineering &amp; Quality|||DevOps/DataOps/DevSecOps Engineer 3 | 5-10 Years</t>
  </si>
  <si>
    <t>Testing / QA / UAT 3 | 5-10 Years</t>
  </si>
  <si>
    <t>Engineering &amp; Quality|||DevOps/DataOps/DevSecOps Engineer 4 | 10-15 Years</t>
  </si>
  <si>
    <t>UX Consultants 1 | 3-5 Years</t>
  </si>
  <si>
    <t>Engineering &amp; Quality|||DevOps/DataOps/DevSecOps Engineer 5 | 15+ Years</t>
  </si>
  <si>
    <t>UX Consultants 2 | 5-10 Years</t>
  </si>
  <si>
    <t>Engineering &amp; Quality|||Digital Engineering / BPM / RPA / Process Engineering 1 | 2-3 Years</t>
  </si>
  <si>
    <t>UX Consultants 3 | 10-15 Years</t>
  </si>
  <si>
    <t>Engineering &amp; Quality|||Digital Engineering / BPM / RPA / Process Engineering 2 | 3-5 Years</t>
  </si>
  <si>
    <t>UX Consultants 4 | 15+ Years</t>
  </si>
  <si>
    <t>Engineering &amp; Quality|||Digital Engineering / BPM / RPA / Process Engineering 3 | 5-10 Years</t>
  </si>
  <si>
    <t>UX Researcher/UI/UX Designer 1 | 2-3 Years</t>
  </si>
  <si>
    <t>Engineering &amp; Quality|||Digital Engineering / BPM / RPA / Process Engineering 4 | 10-15 Years</t>
  </si>
  <si>
    <t>UX Researcher/UI/UX Designer 2 | 3-5 Years</t>
  </si>
  <si>
    <t>Engineering &amp; Quality|||Digital Engineering / BPM / RPA / Process Engineering 5 | 15+ Years</t>
  </si>
  <si>
    <t>UX Researcher/UI/UX Designer 3 | 5-10 Years</t>
  </si>
  <si>
    <t>Engineering &amp; Quality|||Front End Developers 1 | 2-3 Years</t>
  </si>
  <si>
    <t>Engineering &amp; Quality|||Front End Developers 2 | 3-5 Years</t>
  </si>
  <si>
    <t>Engineering &amp; Quality|||Front End Developers 3 | 5-10 Years</t>
  </si>
  <si>
    <t>Engineering &amp; Quality|||Front End Developers 4 | 10-15 Years</t>
  </si>
  <si>
    <t>Engineering &amp; Quality|||Full Stack Developers 1 | 2-3 Years</t>
  </si>
  <si>
    <t>Engineering &amp; Quality|||Full Stack Developers 2 | 3-5 Years</t>
  </si>
  <si>
    <t>Engineering &amp; Quality|||Full Stack Developers 3 | 5-10 Years</t>
  </si>
  <si>
    <t>Engineering &amp; Quality|||Full Stack Developers 4 | 10-15 Years</t>
  </si>
  <si>
    <t>Engineering &amp; Quality|||Microsoft App Development 1 | 5-10 Years</t>
  </si>
  <si>
    <t>Engineering &amp; Quality|||Motion Graphics and Videos 1 | 2-3 Years</t>
  </si>
  <si>
    <t>Engineering &amp; Quality|||Motion Graphics and Videos 2 | 3-5 Years</t>
  </si>
  <si>
    <t>Engineering &amp; Quality|||Motion Graphics and Videos 3 | 5-10 Years</t>
  </si>
  <si>
    <t>Engineering &amp; Quality|||Presentation and Graphic Design 1 | 2-3 Years</t>
  </si>
  <si>
    <t>Engineering &amp; Quality|||Presentation and Graphic Design 2 | 3-5 Years</t>
  </si>
  <si>
    <t>Engineering &amp; Quality|||Presentation and Graphic Design 3 | 5-10 Years</t>
  </si>
  <si>
    <t>Engineering &amp; Quality|||Quality Engineer 1 | 2-3 Years</t>
  </si>
  <si>
    <t>Engineering &amp; Quality|||Quality Engineer 2 | 3-5 Years</t>
  </si>
  <si>
    <t>Engineering &amp; Quality|||Quality Engineer 3 | 5-10 Years</t>
  </si>
  <si>
    <t>Engineering &amp; Quality|||Quality Engineer 4 | 10-15 Years</t>
  </si>
  <si>
    <t>Engineering &amp; Quality|||Quality Engineer 5 | 15+ Years</t>
  </si>
  <si>
    <t>Engineering &amp; Quality|||Tech Program Managers / Product Manager 1 | 5-10 Years</t>
  </si>
  <si>
    <t>Engineering &amp; Quality|||Tech Program Managers / Product Manager 2 | 10-15 Years</t>
  </si>
  <si>
    <t>Engineering &amp; Quality|||Testing / QA / UAT 1 | 2-3 Years</t>
  </si>
  <si>
    <t>Engineering &amp; Quality|||Testing / QA / UAT 2 | 3-5 Years</t>
  </si>
  <si>
    <t>Engineering &amp; Quality|||Testing / QA / UAT 3 | 5-10 Years</t>
  </si>
  <si>
    <t>Engineering &amp; Quality|||UX Consultants 1 | 3-5 Years</t>
  </si>
  <si>
    <t>Engineering &amp; Quality|||UX Consultants 2 | 5-10 Years</t>
  </si>
  <si>
    <t>Engineering &amp; Quality|||UX Consultants 3 | 10-15 Years</t>
  </si>
  <si>
    <t>Engineering &amp; Quality|||UX Consultants 4 | 15+ Years</t>
  </si>
  <si>
    <t>Engineering &amp; Quality|||UX Researcher/UI/UX Designer 1 | 2-3 Years</t>
  </si>
  <si>
    <t>Engineering &amp; Quality|||UX Researcher/UI/UX Designer 2 | 3-5 Years</t>
  </si>
  <si>
    <t>Engineering &amp; Quality|||UX Researcher/UI/UX Designer 3 | 5-10 Years</t>
  </si>
  <si>
    <t>Data Science|||AI Engineer/Data Scientist 1 | 2-3 Years</t>
  </si>
  <si>
    <t>Data Science|||AI Engineer/Data Scientist 2 | 3-5 Years</t>
  </si>
  <si>
    <t>Data Science|||AI Engineer/Data Scientist 3 | 5-10 Years</t>
  </si>
  <si>
    <t>Data Science|||AI Engineer/Data Scientist 4 | 10-15 Years</t>
  </si>
  <si>
    <t>Data Science|||AI Engineer/Data Scientist 5 | 15+ Years</t>
  </si>
  <si>
    <t>Program &amp; Project Management|||Business Analyst 1 | 2-3 Years</t>
  </si>
  <si>
    <t>Program &amp; Project Management|||Business Analyst 2 | 3-5 Years</t>
  </si>
  <si>
    <t>Program &amp; Project Management|||Business Analyst 3 | 5-10 Years</t>
  </si>
  <si>
    <t>Program &amp; Project Management|||Business Analyst 4 | 10-15 Years</t>
  </si>
  <si>
    <t>Program &amp; Project Management|||Business Analyst 5 | 15+ Years</t>
  </si>
  <si>
    <t>Program &amp; Project Management|||Project Manager 1 | 2-3 Years</t>
  </si>
  <si>
    <t>Program &amp; Project Management|||Project Manager 2 | 3-5 Years</t>
  </si>
  <si>
    <t>Program &amp; Project Management|||Project Manager 3 | 5-10 Years</t>
  </si>
  <si>
    <t>Program &amp; Project Management|||Project Manager 4 | 10-15 Years</t>
  </si>
  <si>
    <t>Program &amp; Project Management|||Project Manager 5 | 15+ Years</t>
  </si>
  <si>
    <t>Program &amp; Project Management|||Scrum Master 1 | 2-3 Years</t>
  </si>
  <si>
    <t>Program &amp; Project Management|||Scrum Master 2 | 3-5 Years</t>
  </si>
  <si>
    <t>Program &amp; Project Management|||Scrum Master 3 | 5-10 Years</t>
  </si>
  <si>
    <t>Program &amp; Project Management|||Scrum Master 4 | 10-15 Years</t>
  </si>
  <si>
    <t>Program &amp; Project Management|||Scrum Master 5 | 15+ Years</t>
  </si>
  <si>
    <t>Program &amp; Project Management|||Technical Program Manager 1 | 3-5 Years</t>
  </si>
  <si>
    <t>Program &amp; Project Management|||Technical Program Manager 2 | 5-10 Years</t>
  </si>
  <si>
    <t>Program &amp; Project Management|||Technical Program Manager 3 | 10-15 Years</t>
  </si>
  <si>
    <t>Program &amp; Project Management|||Technical Program Manager 4 | 15+ Years</t>
  </si>
  <si>
    <t>Professional Services &amp; Advisory|||Analyst | 2-3 Years</t>
  </si>
  <si>
    <t>Professional Services &amp; Advisory|||Jr. Consultant | 3-5 Years</t>
  </si>
  <si>
    <t>Professional Services &amp; Advisory|||Consultant | 5-10 Years</t>
  </si>
  <si>
    <t>Professional Services &amp; Advisory|||Sr. Consultant | 10-15 Years</t>
  </si>
  <si>
    <t>Professional Services &amp; Advisory|||Sr. Consulting Partner | 15+ Years</t>
  </si>
  <si>
    <t>CI|||Competitive Intelligence Specialist 1 | 3-5 Years</t>
  </si>
  <si>
    <t>CI|||Competitive Intelligence Specialist 2 | 5-10 Years</t>
  </si>
  <si>
    <t>MI|||Market Research Operations 1 | 2-3 Years</t>
  </si>
  <si>
    <t>MI|||Market Research Operations 2 | 3-5 Years</t>
  </si>
  <si>
    <t>MI|||Market Research Operations 3 | 5-10 Years</t>
  </si>
  <si>
    <t>MI|||Market Research Operations 4 | 10-15 Years</t>
  </si>
  <si>
    <t>MI|||Primary Researcher 1 | 2-3 Years</t>
  </si>
  <si>
    <t>MI|||Primary Researcher 2 | 3-5 Years</t>
  </si>
  <si>
    <t>MI|||Primary Researcher 3 | 5-10 Years</t>
  </si>
  <si>
    <t>MI|||Primary Researcher 4 | 10-15 Years</t>
  </si>
  <si>
    <t>MI|||Secondary MR / MICI Analyst 1 | 2-3 Years</t>
  </si>
  <si>
    <t>MI|||Secondary MR / MICI Analyst 2 | 3-5 Years</t>
  </si>
  <si>
    <t>MI|||Secondary MR / MICI Analyst 3 | 5-10 Years</t>
  </si>
  <si>
    <t>MI|||Secondary MR / MICI Analyst 4 | 10-15 Years</t>
  </si>
  <si>
    <t>💡 IP &amp; License Cost Calculator (Placeholder)</t>
  </si>
  <si>
    <t>Add IP/License costs below. Total Cost and Revenue auto-calculate. Update "Revenue" in row 14 to reflect deal pricing.</t>
  </si>
  <si>
    <t>Product / License</t>
  </si>
  <si>
    <t>Phase
(Setup / Maintenance)</t>
  </si>
  <si>
    <t>Module</t>
  </si>
  <si>
    <t>Cost per Unit ($)</t>
  </si>
  <si>
    <t>Factor / Qty</t>
  </si>
  <si>
    <t>Total Cost ($)</t>
  </si>
  <si>
    <t>TOTAL IP COST</t>
  </si>
  <si>
    <t>REVENUE (from deal)</t>
  </si>
  <si>
    <t>← Enter deal revenue for IP/License</t>
  </si>
  <si>
    <t>IP MARGIN (%)</t>
  </si>
  <si>
    <t>Current Dollar</t>
  </si>
  <si>
    <t>OnShore Employee</t>
  </si>
  <si>
    <t>Offshore Employee</t>
  </si>
  <si>
    <t>CTC</t>
  </si>
  <si>
    <t>Role - Exp</t>
  </si>
  <si>
    <t>Experience (Yrs)</t>
  </si>
  <si>
    <t>Description</t>
  </si>
  <si>
    <t>CTC (pa)</t>
  </si>
  <si>
    <t>cost per hour</t>
  </si>
  <si>
    <t>CTC (INR)</t>
  </si>
  <si>
    <t>Cost per hour (Rs)</t>
  </si>
  <si>
    <t>CTC (dollar)</t>
  </si>
  <si>
    <t>Rate per hour (Rs)</t>
  </si>
  <si>
    <t>Approvers</t>
  </si>
  <si>
    <t>Application Architect 1</t>
  </si>
  <si>
    <t>5-10 Years</t>
  </si>
  <si>
    <t>-</t>
  </si>
  <si>
    <t>Namratta</t>
  </si>
  <si>
    <t>Application Architect 2</t>
  </si>
  <si>
    <t>10-15 Years</t>
  </si>
  <si>
    <t>Application Architect 3</t>
  </si>
  <si>
    <t>15+ Years</t>
  </si>
  <si>
    <t>BI Architect 1</t>
  </si>
  <si>
    <t>BI Architect 2</t>
  </si>
  <si>
    <t>BI Architect 3</t>
  </si>
  <si>
    <t>Data Architect 1</t>
  </si>
  <si>
    <t xml:space="preserve">Rakesh </t>
  </si>
  <si>
    <t>Data Architect 2</t>
  </si>
  <si>
    <t>Data Architect 3</t>
  </si>
  <si>
    <t>Enterprise Architect 1</t>
  </si>
  <si>
    <t>Enterprise Architect 2</t>
  </si>
  <si>
    <t>Enterprise Architect 3</t>
  </si>
  <si>
    <t>Information Architect 1</t>
  </si>
  <si>
    <t>Information Architect 2</t>
  </si>
  <si>
    <t>Information Architect 3</t>
  </si>
  <si>
    <t>Solution Architect 1</t>
  </si>
  <si>
    <t>Solution Architect 2</t>
  </si>
  <si>
    <t>Solution Architect 3</t>
  </si>
  <si>
    <t>Cloud Data Engineer 1</t>
  </si>
  <si>
    <t>2-3 Years</t>
  </si>
  <si>
    <t>Cloud Data Engineer 2</t>
  </si>
  <si>
    <t>3-5 Years</t>
  </si>
  <si>
    <t>Cloud Data Engineer 3</t>
  </si>
  <si>
    <t>Cloud Data Engineer 4</t>
  </si>
  <si>
    <t>Cloud Data Engineer 5</t>
  </si>
  <si>
    <t>Data Engineer / Data Modeler 1</t>
  </si>
  <si>
    <t>Data Engineer / Data Modeler 2</t>
  </si>
  <si>
    <t>Data Engineer / Data Modeler 3</t>
  </si>
  <si>
    <t>Data Engineer / Data Modeler 4</t>
  </si>
  <si>
    <t>Data Engineer / Data Modeler 5</t>
  </si>
  <si>
    <t>Database Administrator 1</t>
  </si>
  <si>
    <t>Database Administrator 2</t>
  </si>
  <si>
    <t>Database Administrator 3</t>
  </si>
  <si>
    <t>Database Administrator 4</t>
  </si>
  <si>
    <t>Database Administrator 5</t>
  </si>
  <si>
    <t>ETL Developer 1</t>
  </si>
  <si>
    <t>ETL Developer 2</t>
  </si>
  <si>
    <t>ETL Developer 3</t>
  </si>
  <si>
    <t>ETL Developer 4</t>
  </si>
  <si>
    <t>ETL Developer 5</t>
  </si>
  <si>
    <t>Graph Engineer 1</t>
  </si>
  <si>
    <t>Graph Engineer 2</t>
  </si>
  <si>
    <t>Graph Engineer 3</t>
  </si>
  <si>
    <t>Graph Engineer 4</t>
  </si>
  <si>
    <t>Graph Engineer 5</t>
  </si>
  <si>
    <t>Backend End Developers 1</t>
  </si>
  <si>
    <t>Backend End Developers 2</t>
  </si>
  <si>
    <t>Backend End Developers 3</t>
  </si>
  <si>
    <t>Backend End Developers 4</t>
  </si>
  <si>
    <t>BI Developer 1</t>
  </si>
  <si>
    <t>BI Developer 2</t>
  </si>
  <si>
    <t>BI Developer 3</t>
  </si>
  <si>
    <t>BI Developer 4</t>
  </si>
  <si>
    <t>BI Developer 5</t>
  </si>
  <si>
    <t>Data Analyst 1</t>
  </si>
  <si>
    <t>Data Analyst 2</t>
  </si>
  <si>
    <t>Data Analyst 3</t>
  </si>
  <si>
    <t>Data Analyst 4</t>
  </si>
  <si>
    <t>Data Analyst 5</t>
  </si>
  <si>
    <t>DevOps/DataOps/DevSecOps Engineer 1</t>
  </si>
  <si>
    <t>DevOps/DataOps/DevSecOps Engineer 2</t>
  </si>
  <si>
    <t>DevOps/DataOps/DevSecOps Engineer 3</t>
  </si>
  <si>
    <t>DevOps/DataOps/DevSecOps Engineer 4</t>
  </si>
  <si>
    <t>DevOps/DataOps/DevSecOps Engineer 5</t>
  </si>
  <si>
    <t>Digital Engineering / BPM / RPA / Process Engineering 1</t>
  </si>
  <si>
    <t>Digital Engineering / BPM / RPA / Process Engineering 2</t>
  </si>
  <si>
    <t>Digital Engineering / BPM / RPA / Process Engineering 3</t>
  </si>
  <si>
    <t>Digital Engineering / BPM / RPA / Process Engineering 4</t>
  </si>
  <si>
    <t>Digital Engineering / BPM / RPA / Process Engineering 5</t>
  </si>
  <si>
    <t>Front End Developers 1</t>
  </si>
  <si>
    <t>Front End Developers 2</t>
  </si>
  <si>
    <t>Front End Developers 3</t>
  </si>
  <si>
    <t>Front End Developers 4</t>
  </si>
  <si>
    <t>Full Stack Developers 1</t>
  </si>
  <si>
    <t>Full Stack Developers 2</t>
  </si>
  <si>
    <t>Full Stack Developers 3</t>
  </si>
  <si>
    <t>Full Stack Developers 4</t>
  </si>
  <si>
    <t>Microsoft App Development 1</t>
  </si>
  <si>
    <t>Motion Graphics and Videos 1</t>
  </si>
  <si>
    <t>Motion Graphics and Videos 2</t>
  </si>
  <si>
    <t>Motion Graphics and Videos 3</t>
  </si>
  <si>
    <t>Presentation and Graphic Design 1</t>
  </si>
  <si>
    <t>Presentation and Graphic Design 2</t>
  </si>
  <si>
    <t>Presentation and Graphic Design 3</t>
  </si>
  <si>
    <t>Quality Engineer 1</t>
  </si>
  <si>
    <t>Quality Engineer 2</t>
  </si>
  <si>
    <t>Quality Engineer 3</t>
  </si>
  <si>
    <t>Quality Engineer 4</t>
  </si>
  <si>
    <t>Quality Engineer 5</t>
  </si>
  <si>
    <t>Tech Program Managers / Product Manager 1</t>
  </si>
  <si>
    <t>Tech Program Managers / Product Manager 2</t>
  </si>
  <si>
    <t>Testing / QA / UAT 1</t>
  </si>
  <si>
    <t>Testing / QA / UAT 2</t>
  </si>
  <si>
    <t>Testing / QA / UAT 3</t>
  </si>
  <si>
    <t>UX Consultants 1</t>
  </si>
  <si>
    <t>UX Consultants 2</t>
  </si>
  <si>
    <t>UX Consultants 3</t>
  </si>
  <si>
    <t>UX Consultants 4</t>
  </si>
  <si>
    <t>UX Researcher/UI/UX Designer 1</t>
  </si>
  <si>
    <t>UX Researcher/UI/UX Designer 2</t>
  </si>
  <si>
    <t>UX Researcher/UI/UX Designer 3</t>
  </si>
  <si>
    <t>AI/ML Engineer (Core AI)</t>
  </si>
  <si>
    <t>2–3 Years</t>
  </si>
  <si>
    <t>Deep Learning, ML, CV, NLP</t>
  </si>
  <si>
    <t>Rahul</t>
  </si>
  <si>
    <t>3–5 Years</t>
  </si>
  <si>
    <t>5–7 Years</t>
  </si>
  <si>
    <t>8–10 Years</t>
  </si>
  <si>
    <t>10–15 Years</t>
  </si>
  <si>
    <t>AI/ML Architect (Core AI)</t>
  </si>
  <si>
    <t>AI Engineer (Generative AI)</t>
  </si>
  <si>
    <t>LLM, SLM, RAG</t>
  </si>
  <si>
    <t>AI Architect (Generative AI)</t>
  </si>
  <si>
    <t>GenAI, Agentic AI, Cloud + ML</t>
  </si>
  <si>
    <t>AI Engineer (Agentic AI)</t>
  </si>
  <si>
    <t>GenAI, Agentic AI</t>
  </si>
  <si>
    <t>AI Architect (Agentic AI)</t>
  </si>
  <si>
    <t>AIOps 1</t>
  </si>
  <si>
    <t>MLOPs, LLMOps, OOPS. AgentOps,AIOps</t>
  </si>
  <si>
    <t>AIOps 2</t>
  </si>
  <si>
    <t>AIOps 3</t>
  </si>
  <si>
    <t>AIOps 4</t>
  </si>
  <si>
    <t>AIOps 5</t>
  </si>
  <si>
    <t>Business Analyst 1</t>
  </si>
  <si>
    <t>BU</t>
  </si>
  <si>
    <t>Business Analyst 2</t>
  </si>
  <si>
    <t>Business Analyst 3</t>
  </si>
  <si>
    <t>Business Analyst 4</t>
  </si>
  <si>
    <t>Business Analyst 5</t>
  </si>
  <si>
    <t>Project Manager 1</t>
  </si>
  <si>
    <t>Project Manager 2</t>
  </si>
  <si>
    <t>Project Manager 3</t>
  </si>
  <si>
    <t>Project Manager 4</t>
  </si>
  <si>
    <t>Project Manager 5</t>
  </si>
  <si>
    <t>Scrum Master 1</t>
  </si>
  <si>
    <t>Scrum Master 2</t>
  </si>
  <si>
    <t>Scrum Master 3</t>
  </si>
  <si>
    <t>Scrum Master 4</t>
  </si>
  <si>
    <t>Scrum Master 5</t>
  </si>
  <si>
    <t>Technical Program Manager 1</t>
  </si>
  <si>
    <t>Technical Program Manager 2</t>
  </si>
  <si>
    <t>Technical Program Manager 3</t>
  </si>
  <si>
    <t>Technical Program Manager 4</t>
  </si>
  <si>
    <t>Analyst</t>
  </si>
  <si>
    <t>Manish S</t>
  </si>
  <si>
    <t>Jr. Consultant</t>
  </si>
  <si>
    <t>Consultant</t>
  </si>
  <si>
    <t>Sr. Consultant</t>
  </si>
  <si>
    <t>Sr. Consulting Partner</t>
  </si>
  <si>
    <t>Competitive Intelligence Specialist 1</t>
  </si>
  <si>
    <t>Anil</t>
  </si>
  <si>
    <t>Competitive Intelligence Specialist 2</t>
  </si>
  <si>
    <t>Market Research Operations 1</t>
  </si>
  <si>
    <t>Market Research Operations 2</t>
  </si>
  <si>
    <t>Market Research Operations 3</t>
  </si>
  <si>
    <t>Market Research Operations 4</t>
  </si>
  <si>
    <t>Primary Researcher 1</t>
  </si>
  <si>
    <t>Primary Researcher 2</t>
  </si>
  <si>
    <t>Primary Researcher 3</t>
  </si>
  <si>
    <t>Primary Researcher 4</t>
  </si>
  <si>
    <t>Secondary MR / MICI Analyst 1</t>
  </si>
  <si>
    <t>Secondary MR / MICI Analyst 2</t>
  </si>
  <si>
    <t>Secondary MR / MICI Analyst 3</t>
  </si>
  <si>
    <t>Secondary MR / MICI Analyst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</si>
</sst>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$-C09]#,##0"/>
    <numFmt numFmtId="165" formatCode="[$$-C09]#,##0.00"/>
    <numFmt numFmtId="166" formatCode="\$#,##0"/>
    <numFmt numFmtId="167" formatCode="0.0%"/>
    <numFmt numFmtId="168" formatCode="\$#,##0.00"/>
    <numFmt numFmtId="169" formatCode="0.0000"/>
    <numFmt numFmtId="170" formatCode="[$₹-4009]\ #,##0"/>
    <numFmt numFmtId="171" formatCode="_ [$₹-4009]\ * #,##0.00_ ;_ [$₹-4009]\ * \-#,##0.00_ ;_ [$₹-4009]\ * &quot;-&quot;??_ ;_ @_ "/>
  </numFmts>
  <fonts count="74">
    <font>
      <sz val="11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375623"/>
      <name val="Arial"/>
      <family val="2"/>
      <charset val="1"/>
    </font>
    <font>
      <sz val="10"/>
      <color rgb="FF1B2A4A"/>
      <name val="Arial"/>
      <family val="2"/>
      <charset val="1"/>
    </font>
    <font>
      <sz val="10"/>
      <color rgb="FF334155"/>
      <name val="Arial"/>
      <family val="2"/>
      <charset val="1"/>
    </font>
    <font>
      <b/>
      <sz val="10"/>
      <color rgb="FF1B2A4A"/>
      <name val="Arial"/>
      <family val="2"/>
      <charset val="1"/>
    </font>
    <font>
      <b/>
      <sz val="20"/>
      <color rgb="FFFFFFFF"/>
      <name val="Calibri"/>
      <family val="2"/>
      <charset val="1"/>
    </font>
    <font>
      <b/>
      <sz val="10"/>
      <color rgb="FF1B2A4A"/>
      <name val="Calibri"/>
      <family val="2"/>
      <charset val="1"/>
    </font>
    <font>
      <i/>
      <sz val="9"/>
      <color rgb="FF475569"/>
      <name val="Calibri"/>
      <family val="2"/>
      <charset val="1"/>
    </font>
    <font>
      <sz val="10"/>
      <color rgb="FF475569"/>
      <name val="Calibri"/>
      <family val="2"/>
      <charset val="1"/>
    </font>
    <font>
      <b/>
      <sz val="11"/>
      <color rgb="FF1B2A4A"/>
      <name val="Arial"/>
      <family val="2"/>
      <charset val="1"/>
    </font>
    <font>
      <sz val="11"/>
      <color rgb="FF0000FF"/>
      <name val="Arial"/>
      <family val="2"/>
      <charset val="1"/>
    </font>
    <font>
      <i/>
      <sz val="10"/>
      <color rgb="FFC00000"/>
      <name val="Arial"/>
      <family val="2"/>
      <charset val="1"/>
    </font>
    <font>
      <sz val="8"/>
      <color theme="1"/>
      <name val="Calibri"/>
      <family val="2"/>
      <charset val="1"/>
    </font>
    <font>
      <sz val="8"/>
      <color theme="0"/>
      <name val="Calibri"/>
      <family val="2"/>
      <charset val="1"/>
    </font>
    <font>
      <b/>
      <sz val="11"/>
      <color rgb="FFFFFFFF"/>
      <name val="Arial"/>
      <family val="2"/>
      <charset val="1"/>
    </font>
    <font>
      <b/>
      <sz val="8"/>
      <name val="Calibri"/>
      <family val="2"/>
      <charset val="1"/>
    </font>
    <font>
      <sz val="8"/>
      <color rgb="FF000000"/>
      <name val="Calibri"/>
      <charset val="1"/>
    </font>
    <font>
      <b/>
      <sz val="8"/>
      <color rgb="FF000000"/>
      <name val="Calibri"/>
      <charset val="1"/>
    </font>
    <font>
      <b/>
      <sz val="8"/>
      <color rgb="FF0000FF"/>
      <name val="Calibri"/>
      <charset val="1"/>
    </font>
    <font>
      <sz val="8"/>
      <color rgb="FF008000"/>
      <name val="Calibri"/>
      <charset val="1"/>
    </font>
    <font>
      <sz val="11"/>
      <color rgb="FF000000"/>
      <name val="Arial"/>
      <family val="2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1"/>
      <color rgb="FFFFC000"/>
      <name val="Arial"/>
      <family val="2"/>
      <charset val="1"/>
    </font>
    <font>
      <sz val="11"/>
      <color rgb="FFFF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1"/>
      <color rgb="FF008000"/>
      <name val="Arial"/>
      <family val="2"/>
      <charset val="1"/>
    </font>
    <font>
      <b/>
      <sz val="11"/>
      <color rgb="FF0000FF"/>
      <name val="Arial"/>
      <family val="2"/>
      <charset val="1"/>
    </font>
    <font>
      <i/>
      <sz val="8"/>
      <color rgb="FF475569"/>
      <name val="Arial"/>
      <family val="2"/>
      <charset val="1"/>
    </font>
    <font>
      <b/>
      <sz val="8"/>
      <color rgb="FF0000FF"/>
      <name val="Arial"/>
      <family val="2"/>
      <charset val="1"/>
    </font>
    <font>
      <b/>
      <sz val="8"/>
      <color rgb="FF475569"/>
      <name val="Arial"/>
      <family val="2"/>
      <charset val="1"/>
    </font>
    <font>
      <b/>
      <sz val="8"/>
      <color rgb="FFD97706"/>
      <name val="Arial"/>
      <family val="2"/>
      <charset val="1"/>
    </font>
    <font>
      <b/>
      <sz val="8"/>
      <color rgb="FF375623"/>
      <name val="Arial"/>
      <family val="2"/>
      <charset val="1"/>
    </font>
    <font>
      <sz val="8"/>
      <color theme="1"/>
      <name val="Aptos Narrow"/>
      <family val="2"/>
      <charset val="1"/>
    </font>
    <font>
      <sz val="10"/>
      <color rgb="FF0000FF"/>
      <name val="Arial"/>
      <charset val="1"/>
    </font>
    <font>
      <i/>
      <sz val="9"/>
      <color rgb="FF595959"/>
      <name val="Arial"/>
      <charset val="1"/>
    </font>
    <font>
      <sz val="10"/>
      <name val="Arial"/>
      <family val="2"/>
    </font>
    <font>
      <b/>
      <sz val="14"/>
      <color rgb="FF1B2A4A"/>
      <name val="Arial"/>
      <family val="2"/>
      <charset val="1"/>
    </font>
    <font>
      <b/>
      <sz val="12"/>
      <color rgb="FF0070C0"/>
      <name val="Arial"/>
      <family val="2"/>
      <charset val="1"/>
    </font>
    <font>
      <sz val="11"/>
      <color rgb="FF008000"/>
      <name val="Arial"/>
      <family val="2"/>
      <charset val="1"/>
    </font>
    <font>
      <b/>
      <sz val="10"/>
      <color rgb="FF0000FF"/>
      <name val="Calibri"/>
      <family val="2"/>
      <charset val="1"/>
    </font>
    <font>
      <b/>
      <sz val="12"/>
      <name val="Calibri"/>
      <family val="2"/>
      <charset val="1"/>
    </font>
    <font>
      <i/>
      <sz val="9"/>
      <color rgb="FFD97706"/>
      <name val="Calibri"/>
      <family val="2"/>
      <charset val="1"/>
    </font>
    <font>
      <b/>
      <sz val="9"/>
      <color rgb="FFFFFFFF"/>
      <name val="Calibri"/>
      <family val="2"/>
      <charset val="1"/>
    </font>
    <font>
      <sz val="9"/>
      <color rgb="FF475569"/>
      <name val="Calibri"/>
      <family val="2"/>
      <charset val="1"/>
    </font>
    <font>
      <sz val="9"/>
      <color rgb="FF1B2A4A"/>
      <name val="Calibri"/>
      <family val="2"/>
      <charset val="1"/>
    </font>
    <font>
      <b/>
      <sz val="9"/>
      <color rgb="FF0000FF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10"/>
      <name val="Calibri"/>
      <family val="2"/>
      <charset val="1"/>
    </font>
    <font>
      <b/>
      <sz val="12"/>
      <color rgb="FF2563EB"/>
      <name val="Calibri"/>
      <family val="2"/>
      <charset val="1"/>
    </font>
    <font>
      <i/>
      <sz val="8"/>
      <color rgb="FF475569"/>
      <name val="Calibri"/>
      <family val="2"/>
      <charset val="1"/>
    </font>
    <font>
      <b/>
      <sz val="8"/>
      <color rgb="FF2563EB"/>
      <name val="Calibri"/>
      <family val="2"/>
      <charset val="1"/>
    </font>
    <font>
      <b/>
      <sz val="8"/>
      <color rgb="FF475569"/>
      <name val="Calibri"/>
      <family val="2"/>
      <charset val="1"/>
    </font>
    <font>
      <b/>
      <sz val="8"/>
      <color rgb="FFD97706"/>
      <name val="Calibri"/>
      <family val="2"/>
      <charset val="1"/>
    </font>
    <font>
      <b/>
      <sz val="12"/>
      <color rgb="FF475569"/>
      <name val="Calibri"/>
      <family val="2"/>
      <charset val="1"/>
    </font>
    <font>
      <i/>
      <sz val="11"/>
      <color rgb="FF595959"/>
      <name val="Arial"/>
      <family val="2"/>
      <charset val="1"/>
    </font>
    <font>
      <i/>
      <sz val="11"/>
      <color rgb="FF595959"/>
      <name val="Arial"/>
      <charset val="1"/>
    </font>
    <font>
      <i/>
      <sz val="9"/>
      <color rgb="FF7F7F7F"/>
      <name val="Arial"/>
      <family val="2"/>
      <charset val="1"/>
    </font>
    <font>
      <sz val="10"/>
      <color rgb="FF595959"/>
      <name val="Arial"/>
      <charset val="1"/>
    </font>
    <font>
      <sz val="10"/>
      <color rgb="FF000000"/>
      <name val="Aptos Narrow"/>
      <family val="2"/>
      <charset val="1"/>
    </font>
    <font>
      <b/>
      <sz val="14"/>
      <color rgb="FFFFFFFF"/>
      <name val="Arial"/>
      <charset val="1"/>
    </font>
    <font>
      <b/>
      <sz val="11"/>
      <color rgb="FF000000"/>
      <name val="Arial"/>
      <charset val="1"/>
    </font>
    <font>
      <b/>
      <sz val="11"/>
      <color rgb="FF0000FF"/>
      <name val="Arial"/>
      <charset val="1"/>
    </font>
    <font>
      <b/>
      <sz val="11"/>
      <name val="Arial"/>
      <charset val="1"/>
    </font>
    <font>
      <b/>
      <sz val="12"/>
      <color theme="1"/>
      <name val="Aptos Narrow"/>
      <family val="2"/>
      <charset val="1"/>
    </font>
    <font>
      <b/>
      <sz val="26"/>
      <color theme="1"/>
      <name val="Aptos Narrow"/>
      <family val="2"/>
      <charset val="1"/>
    </font>
    <font>
      <b/>
      <sz val="10"/>
      <color theme="0"/>
      <name val="Aptos Narrow"/>
      <family val="2"/>
      <charset val="1"/>
    </font>
    <font>
      <b/>
      <sz val="10"/>
      <color theme="1"/>
      <name val="Aptos Narrow"/>
      <family val="2"/>
      <charset val="1"/>
    </font>
    <font>
      <sz val="11"/>
      <color theme="1"/>
      <name val="Aptos Narrow"/>
      <family val="2"/>
      <charset val="1"/>
    </font>
  </fonts>
  <fills count="37">
    <fill>
      <patternFill patternType="none"/>
    </fill>
    <fill>
      <patternFill patternType="gray125"/>
    </fill>
    <fill>
      <patternFill patternType="solid">
        <fgColor rgb="FF1B2A4A"/>
        <bgColor rgb="FF334155"/>
      </patternFill>
    </fill>
    <fill>
      <patternFill patternType="solid">
        <fgColor rgb="FFEAF3DE"/>
        <bgColor rgb="FFE2EFDA"/>
      </patternFill>
    </fill>
    <fill>
      <patternFill patternType="solid">
        <fgColor rgb="FF0070C0"/>
        <bgColor rgb="FF2E75B6"/>
      </patternFill>
    </fill>
    <fill>
      <patternFill patternType="solid">
        <fgColor rgb="FFF1F5F9"/>
        <bgColor rgb="FFF2F2F2"/>
      </patternFill>
    </fill>
    <fill>
      <patternFill patternType="solid">
        <fgColor rgb="FFFFFFFF"/>
        <bgColor rgb="FFFFF7ED"/>
      </patternFill>
    </fill>
    <fill>
      <patternFill patternType="solid">
        <fgColor rgb="FFDBEAFE"/>
        <bgColor rgb="FFDCEAF7"/>
      </patternFill>
    </fill>
    <fill>
      <patternFill patternType="solid">
        <fgColor theme="5" tint="0.79979857783745845"/>
        <bgColor rgb="FFFFF2CC"/>
      </patternFill>
    </fill>
    <fill>
      <patternFill patternType="solid">
        <fgColor rgb="FFFFF2CC"/>
        <bgColor rgb="FFFEF3C7"/>
      </patternFill>
    </fill>
    <fill>
      <patternFill patternType="solid">
        <fgColor rgb="FFFFFF00"/>
        <bgColor rgb="FFFFC000"/>
      </patternFill>
    </fill>
    <fill>
      <patternFill patternType="solid">
        <fgColor rgb="FFC00000"/>
        <bgColor rgb="FFFF0000"/>
      </patternFill>
    </fill>
    <fill>
      <patternFill patternType="solid">
        <fgColor rgb="FFE26B0A"/>
        <bgColor rgb="FFD97706"/>
      </patternFill>
    </fill>
    <fill>
      <patternFill patternType="solid">
        <fgColor rgb="FFF2F2F2"/>
        <bgColor rgb="FFF1F5F9"/>
      </patternFill>
    </fill>
    <fill>
      <patternFill patternType="solid">
        <fgColor theme="1"/>
        <bgColor rgb="FF003300"/>
      </patternFill>
    </fill>
    <fill>
      <patternFill patternType="solid">
        <fgColor rgb="FFEBF3FB"/>
        <bgColor rgb="FFF1F5F9"/>
      </patternFill>
    </fill>
    <fill>
      <patternFill patternType="solid">
        <fgColor rgb="FFFEF3C7"/>
        <bgColor rgb="FFFFF2CC"/>
      </patternFill>
    </fill>
    <fill>
      <patternFill patternType="solid">
        <fgColor rgb="FFE2EFDA"/>
        <bgColor rgb="FFEAF3DE"/>
      </patternFill>
    </fill>
    <fill>
      <patternFill patternType="solid">
        <fgColor rgb="FF375623"/>
        <bgColor rgb="FF334155"/>
      </patternFill>
    </fill>
    <fill>
      <patternFill patternType="solid">
        <fgColor rgb="FF548235"/>
        <bgColor rgb="FF595959"/>
      </patternFill>
    </fill>
    <fill>
      <patternFill patternType="solid">
        <fgColor rgb="FFDDEEFF"/>
        <bgColor rgb="FFDBEAFE"/>
      </patternFill>
    </fill>
    <fill>
      <patternFill patternType="solid">
        <fgColor rgb="FFD6E8F6"/>
        <bgColor rgb="FFDCEAF7"/>
      </patternFill>
    </fill>
    <fill>
      <patternFill patternType="solid">
        <fgColor theme="6" tint="0.79979857783745845"/>
        <bgColor rgb="FFD9F2D0"/>
      </patternFill>
    </fill>
    <fill>
      <patternFill patternType="solid">
        <fgColor rgb="FF2563EB"/>
        <bgColor rgb="FF1D4ED8"/>
      </patternFill>
    </fill>
    <fill>
      <patternFill patternType="solid">
        <fgColor theme="2"/>
        <bgColor rgb="FFE2EFDA"/>
      </patternFill>
    </fill>
    <fill>
      <patternFill patternType="solid">
        <fgColor rgb="FFFFF7ED"/>
        <bgColor rgb="FFF2F2F2"/>
      </patternFill>
    </fill>
    <fill>
      <patternFill patternType="solid">
        <fgColor rgb="FF4472C4"/>
        <bgColor rgb="FF2E75B6"/>
      </patternFill>
    </fill>
    <fill>
      <patternFill patternType="solid">
        <fgColor rgb="FF1F4E79"/>
        <bgColor rgb="FF334155"/>
      </patternFill>
    </fill>
    <fill>
      <patternFill patternType="solid">
        <fgColor rgb="FF2E75B6"/>
        <bgColor rgb="FF4472C4"/>
      </patternFill>
    </fill>
    <fill>
      <patternFill patternType="solid">
        <fgColor rgb="FFBDD7EE"/>
        <bgColor rgb="FFCBD5E1"/>
      </patternFill>
    </fill>
    <fill>
      <patternFill patternType="solid">
        <fgColor theme="3" tint="0.89989928891872917"/>
        <bgColor rgb="FFDBEAFE"/>
      </patternFill>
    </fill>
    <fill>
      <patternFill patternType="solid">
        <fgColor theme="9" tint="0.79979857783745845"/>
        <bgColor rgb="FFE2EFDA"/>
      </patternFill>
    </fill>
    <fill>
      <patternFill patternType="solid">
        <fgColor theme="0" tint="-0.14999847407452621"/>
        <bgColor rgb="FFD1D1D1"/>
      </patternFill>
    </fill>
    <fill>
      <patternFill patternType="solid">
        <fgColor theme="2" tint="-9.9978637043366805E-2"/>
        <bgColor rgb="FFCBD5E1"/>
      </patternFill>
    </fill>
    <fill>
      <patternFill patternType="solid">
        <fgColor rgb="FF92D050"/>
        <bgColor rgb="FFBFBFB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2CC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BD5E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CBD5E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medium">
        <color rgb="FFFFFFFF"/>
      </bottom>
      <diagonal/>
    </border>
    <border>
      <left style="thin">
        <color rgb="FF93C5FD"/>
      </left>
      <right style="thin">
        <color rgb="FF93C5FD"/>
      </right>
      <top style="medium">
        <color rgb="FF0EA5E9"/>
      </top>
      <bottom style="medium">
        <color rgb="FF0EA5E9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 style="thin">
        <color rgb="FFCBD5E1"/>
      </left>
      <right style="thin">
        <color rgb="FFCBD5E1"/>
      </right>
      <top style="thin">
        <color rgb="FFD97706"/>
      </top>
      <bottom style="thin">
        <color rgb="FFCBD5E1"/>
      </bottom>
      <diagonal/>
    </border>
    <border>
      <left style="thin">
        <color rgb="FFCBD5E1"/>
      </left>
      <right/>
      <top/>
      <bottom/>
      <diagonal/>
    </border>
    <border>
      <left style="thin">
        <color rgb="FFCBD5E1"/>
      </left>
      <right/>
      <top style="thin">
        <color rgb="FFD97706"/>
      </top>
      <bottom style="thin">
        <color rgb="FFCBD5E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3" fillId="0" borderId="0"/>
  </cellStyleXfs>
  <cellXfs count="193">
    <xf numFmtId="0" fontId="0" fillId="0" borderId="0" xfId="0"/>
    <xf numFmtId="0" fontId="46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24" fillId="12" borderId="6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4" fillId="5" borderId="1" xfId="0" applyFont="1" applyFill="1" applyBorder="1" applyAlignment="1">
      <alignment horizontal="left" vertical="center" wrapText="1" indent="1"/>
    </xf>
    <xf numFmtId="0" fontId="5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 inden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left" vertical="center" wrapText="1" indent="1"/>
    </xf>
    <xf numFmtId="0" fontId="7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9" fillId="7" borderId="2" xfId="0" applyFont="1" applyFill="1" applyBorder="1" applyAlignment="1">
      <alignment vertical="center"/>
    </xf>
    <xf numFmtId="0" fontId="10" fillId="7" borderId="3" xfId="0" applyFont="1" applyFill="1" applyBorder="1" applyAlignment="1">
      <alignment vertical="center"/>
    </xf>
    <xf numFmtId="0" fontId="10" fillId="7" borderId="4" xfId="0" applyFont="1" applyFill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12" fillId="7" borderId="1" xfId="0" applyFont="1" applyFill="1" applyBorder="1" applyAlignment="1">
      <alignment horizontal="center" vertical="center"/>
    </xf>
    <xf numFmtId="0" fontId="14" fillId="0" borderId="1" xfId="0" applyFont="1" applyBorder="1"/>
    <xf numFmtId="164" fontId="15" fillId="4" borderId="1" xfId="0" applyNumberFormat="1" applyFont="1" applyFill="1" applyBorder="1"/>
    <xf numFmtId="0" fontId="15" fillId="4" borderId="1" xfId="0" applyFont="1" applyFill="1" applyBorder="1"/>
    <xf numFmtId="0" fontId="16" fillId="4" borderId="1" xfId="0" applyFont="1" applyFill="1" applyBorder="1" applyAlignment="1">
      <alignment horizontal="center" vertical="center"/>
    </xf>
    <xf numFmtId="0" fontId="14" fillId="8" borderId="1" xfId="0" applyFont="1" applyFill="1" applyBorder="1"/>
    <xf numFmtId="164" fontId="14" fillId="8" borderId="1" xfId="0" applyNumberFormat="1" applyFont="1" applyFill="1" applyBorder="1"/>
    <xf numFmtId="9" fontId="17" fillId="8" borderId="1" xfId="0" applyNumberFormat="1" applyFont="1" applyFill="1" applyBorder="1"/>
    <xf numFmtId="0" fontId="14" fillId="8" borderId="5" xfId="0" applyFont="1" applyFill="1" applyBorder="1"/>
    <xf numFmtId="164" fontId="14" fillId="8" borderId="5" xfId="0" applyNumberFormat="1" applyFont="1" applyFill="1" applyBorder="1"/>
    <xf numFmtId="9" fontId="17" fillId="8" borderId="5" xfId="0" applyNumberFormat="1" applyFont="1" applyFill="1" applyBorder="1"/>
    <xf numFmtId="164" fontId="21" fillId="10" borderId="1" xfId="0" applyNumberFormat="1" applyFont="1" applyFill="1" applyBorder="1"/>
    <xf numFmtId="9" fontId="17" fillId="10" borderId="1" xfId="0" applyNumberFormat="1" applyFont="1" applyFill="1" applyBorder="1"/>
    <xf numFmtId="0" fontId="11" fillId="0" borderId="1" xfId="0" applyFont="1" applyBorder="1" applyAlignment="1">
      <alignment horizontal="left" vertical="center"/>
    </xf>
    <xf numFmtId="164" fontId="17" fillId="10" borderId="1" xfId="0" applyNumberFormat="1" applyFont="1" applyFill="1" applyBorder="1"/>
    <xf numFmtId="0" fontId="22" fillId="0" borderId="0" xfId="0" applyFont="1"/>
    <xf numFmtId="165" fontId="0" fillId="0" borderId="0" xfId="0" applyNumberFormat="1"/>
    <xf numFmtId="0" fontId="25" fillId="13" borderId="6" xfId="0" applyFont="1" applyFill="1" applyBorder="1" applyAlignment="1">
      <alignment horizontal="center" vertical="center" wrapText="1"/>
    </xf>
    <xf numFmtId="164" fontId="22" fillId="0" borderId="0" xfId="0" applyNumberFormat="1" applyFont="1"/>
    <xf numFmtId="9" fontId="22" fillId="0" borderId="0" xfId="0" applyNumberFormat="1" applyFont="1"/>
    <xf numFmtId="0" fontId="27" fillId="14" borderId="0" xfId="0" applyFont="1" applyFill="1" applyAlignment="1">
      <alignment horizontal="left" vertical="center"/>
    </xf>
    <xf numFmtId="164" fontId="28" fillId="14" borderId="0" xfId="0" applyNumberFormat="1" applyFont="1" applyFill="1"/>
    <xf numFmtId="9" fontId="28" fillId="14" borderId="0" xfId="0" applyNumberFormat="1" applyFont="1" applyFill="1"/>
    <xf numFmtId="0" fontId="28" fillId="14" borderId="0" xfId="0" applyFont="1" applyFill="1"/>
    <xf numFmtId="0" fontId="29" fillId="5" borderId="1" xfId="0" applyFont="1" applyFill="1" applyBorder="1" applyAlignment="1">
      <alignment horizontal="left" vertical="center"/>
    </xf>
    <xf numFmtId="166" fontId="29" fillId="15" borderId="1" xfId="0" applyNumberFormat="1" applyFont="1" applyFill="1" applyBorder="1" applyAlignment="1">
      <alignment horizontal="right" vertical="center"/>
    </xf>
    <xf numFmtId="166" fontId="30" fillId="15" borderId="1" xfId="0" applyNumberFormat="1" applyFont="1" applyFill="1" applyBorder="1" applyAlignment="1">
      <alignment horizontal="right" vertical="center"/>
    </xf>
    <xf numFmtId="9" fontId="31" fillId="8" borderId="1" xfId="0" applyNumberFormat="1" applyFont="1" applyFill="1" applyBorder="1" applyAlignment="1">
      <alignment horizontal="right" vertical="center"/>
    </xf>
    <xf numFmtId="167" fontId="29" fillId="5" borderId="1" xfId="0" applyNumberFormat="1" applyFont="1" applyFill="1" applyBorder="1" applyAlignment="1">
      <alignment horizontal="right" vertical="center"/>
    </xf>
    <xf numFmtId="0" fontId="29" fillId="15" borderId="1" xfId="0" applyFont="1" applyFill="1" applyBorder="1" applyAlignment="1">
      <alignment horizontal="left" vertical="center"/>
    </xf>
    <xf numFmtId="167" fontId="29" fillId="15" borderId="1" xfId="0" applyNumberFormat="1" applyFont="1" applyFill="1" applyBorder="1" applyAlignment="1">
      <alignment horizontal="right" vertical="center"/>
    </xf>
    <xf numFmtId="0" fontId="32" fillId="0" borderId="0" xfId="0" applyFont="1" applyAlignment="1">
      <alignment horizontal="left" vertical="center" wrapText="1"/>
    </xf>
    <xf numFmtId="0" fontId="33" fillId="7" borderId="0" xfId="0" applyFont="1" applyFill="1" applyAlignment="1">
      <alignment horizontal="left" vertical="center"/>
    </xf>
    <xf numFmtId="0" fontId="34" fillId="5" borderId="0" xfId="0" applyFont="1" applyFill="1" applyAlignment="1">
      <alignment horizontal="left" vertical="center"/>
    </xf>
    <xf numFmtId="0" fontId="35" fillId="16" borderId="0" xfId="0" applyFont="1" applyFill="1" applyAlignment="1">
      <alignment horizontal="left" vertical="center"/>
    </xf>
    <xf numFmtId="0" fontId="36" fillId="17" borderId="0" xfId="0" applyFont="1" applyFill="1" applyAlignment="1">
      <alignment horizontal="left" vertical="center"/>
    </xf>
    <xf numFmtId="0" fontId="37" fillId="0" borderId="0" xfId="0" applyFont="1"/>
    <xf numFmtId="0" fontId="24" fillId="19" borderId="6" xfId="0" applyFont="1" applyFill="1" applyBorder="1" applyAlignment="1">
      <alignment horizontal="center" vertical="center" wrapText="1"/>
    </xf>
    <xf numFmtId="0" fontId="41" fillId="0" borderId="0" xfId="0" applyFont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29" fillId="15" borderId="1" xfId="0" applyFont="1" applyFill="1" applyBorder="1" applyAlignment="1">
      <alignment horizontal="left" vertical="center" wrapText="1"/>
    </xf>
    <xf numFmtId="0" fontId="22" fillId="15" borderId="1" xfId="0" applyFont="1" applyFill="1" applyBorder="1" applyAlignment="1">
      <alignment horizontal="center" vertical="center"/>
    </xf>
    <xf numFmtId="0" fontId="22" fillId="15" borderId="1" xfId="0" applyFont="1" applyFill="1" applyBorder="1" applyAlignment="1">
      <alignment horizontal="left" vertical="center" wrapText="1"/>
    </xf>
    <xf numFmtId="0" fontId="29" fillId="21" borderId="1" xfId="0" applyFont="1" applyFill="1" applyBorder="1" applyAlignment="1">
      <alignment horizontal="left" vertical="center" wrapText="1"/>
    </xf>
    <xf numFmtId="0" fontId="22" fillId="21" borderId="1" xfId="0" applyFont="1" applyFill="1" applyBorder="1" applyAlignment="1">
      <alignment horizontal="center" vertical="center"/>
    </xf>
    <xf numFmtId="0" fontId="22" fillId="21" borderId="1" xfId="0" applyFont="1" applyFill="1" applyBorder="1" applyAlignment="1">
      <alignment horizontal="left" vertical="center" wrapText="1"/>
    </xf>
    <xf numFmtId="0" fontId="22" fillId="13" borderId="1" xfId="0" applyFont="1" applyFill="1" applyBorder="1" applyAlignment="1">
      <alignment horizontal="left" vertical="center"/>
    </xf>
    <xf numFmtId="3" fontId="31" fillId="16" borderId="1" xfId="0" applyNumberFormat="1" applyFont="1" applyFill="1" applyBorder="1" applyAlignment="1">
      <alignment horizontal="right" vertical="center"/>
    </xf>
    <xf numFmtId="9" fontId="31" fillId="16" borderId="1" xfId="0" applyNumberFormat="1" applyFont="1" applyFill="1" applyBorder="1" applyAlignment="1">
      <alignment horizontal="right" vertical="center"/>
    </xf>
    <xf numFmtId="0" fontId="44" fillId="16" borderId="8" xfId="0" applyFont="1" applyFill="1" applyBorder="1" applyAlignment="1">
      <alignment horizontal="center" vertical="center"/>
    </xf>
    <xf numFmtId="9" fontId="45" fillId="22" borderId="8" xfId="0" applyNumberFormat="1" applyFont="1" applyFill="1" applyBorder="1" applyAlignment="1">
      <alignment horizontal="center" vertical="center"/>
    </xf>
    <xf numFmtId="9" fontId="45" fillId="8" borderId="8" xfId="0" applyNumberFormat="1" applyFont="1" applyFill="1" applyBorder="1" applyAlignment="1">
      <alignment horizontal="center" vertical="center"/>
    </xf>
    <xf numFmtId="0" fontId="47" fillId="23" borderId="9" xfId="0" applyFont="1" applyFill="1" applyBorder="1" applyAlignment="1">
      <alignment horizontal="center" vertical="center" wrapText="1"/>
    </xf>
    <xf numFmtId="0" fontId="48" fillId="5" borderId="0" xfId="0" applyFont="1" applyFill="1" applyAlignment="1">
      <alignment horizontal="center" vertical="center"/>
    </xf>
    <xf numFmtId="0" fontId="49" fillId="7" borderId="8" xfId="0" applyFont="1" applyFill="1" applyBorder="1" applyAlignment="1">
      <alignment horizontal="left" vertical="center"/>
    </xf>
    <xf numFmtId="0" fontId="50" fillId="7" borderId="8" xfId="0" applyFont="1" applyFill="1" applyBorder="1" applyAlignment="1">
      <alignment horizontal="center" vertical="center"/>
    </xf>
    <xf numFmtId="9" fontId="50" fillId="7" borderId="8" xfId="0" applyNumberFormat="1" applyFont="1" applyFill="1" applyBorder="1" applyAlignment="1">
      <alignment horizontal="center" vertical="center"/>
    </xf>
    <xf numFmtId="168" fontId="51" fillId="24" borderId="8" xfId="0" applyNumberFormat="1" applyFont="1" applyFill="1" applyBorder="1" applyAlignment="1">
      <alignment horizontal="center" vertical="center"/>
    </xf>
    <xf numFmtId="168" fontId="51" fillId="6" borderId="8" xfId="0" applyNumberFormat="1" applyFont="1" applyFill="1" applyBorder="1" applyAlignment="1">
      <alignment horizontal="center" vertical="center"/>
    </xf>
    <xf numFmtId="166" fontId="51" fillId="6" borderId="8" xfId="0" applyNumberFormat="1" applyFont="1" applyFill="1" applyBorder="1" applyAlignment="1">
      <alignment horizontal="center" vertical="center"/>
    </xf>
    <xf numFmtId="0" fontId="48" fillId="5" borderId="8" xfId="0" applyFont="1" applyFill="1" applyBorder="1" applyAlignment="1">
      <alignment horizontal="center" vertical="center"/>
    </xf>
    <xf numFmtId="166" fontId="51" fillId="5" borderId="8" xfId="0" applyNumberFormat="1" applyFont="1" applyFill="1" applyBorder="1" applyAlignment="1">
      <alignment horizontal="center" vertical="center"/>
    </xf>
    <xf numFmtId="9" fontId="31" fillId="7" borderId="8" xfId="0" applyNumberFormat="1" applyFont="1" applyFill="1" applyBorder="1" applyAlignment="1">
      <alignment horizontal="center" vertical="center"/>
    </xf>
    <xf numFmtId="0" fontId="0" fillId="2" borderId="0" xfId="0" applyFill="1"/>
    <xf numFmtId="166" fontId="53" fillId="13" borderId="10" xfId="0" applyNumberFormat="1" applyFont="1" applyFill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9" fontId="59" fillId="0" borderId="13" xfId="0" applyNumberFormat="1" applyFont="1" applyBorder="1" applyAlignment="1">
      <alignment vertical="center"/>
    </xf>
    <xf numFmtId="0" fontId="46" fillId="0" borderId="0" xfId="0" applyFont="1" applyAlignment="1">
      <alignment vertical="center"/>
    </xf>
    <xf numFmtId="168" fontId="51" fillId="24" borderId="8" xfId="0" applyNumberFormat="1" applyFont="1" applyFill="1" applyBorder="1" applyAlignment="1">
      <alignment horizontal="right" vertical="center"/>
    </xf>
    <xf numFmtId="168" fontId="51" fillId="6" borderId="8" xfId="0" applyNumberFormat="1" applyFont="1" applyFill="1" applyBorder="1" applyAlignment="1">
      <alignment horizontal="right" vertical="center"/>
    </xf>
    <xf numFmtId="166" fontId="51" fillId="6" borderId="8" xfId="0" applyNumberFormat="1" applyFont="1" applyFill="1" applyBorder="1" applyAlignment="1">
      <alignment horizontal="right" vertical="center"/>
    </xf>
    <xf numFmtId="0" fontId="31" fillId="7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5" fillId="0" borderId="0" xfId="0" applyFont="1"/>
    <xf numFmtId="167" fontId="38" fillId="9" borderId="0" xfId="0" applyNumberFormat="1" applyFont="1" applyFill="1"/>
    <xf numFmtId="10" fontId="22" fillId="15" borderId="1" xfId="0" applyNumberFormat="1" applyFont="1" applyFill="1" applyBorder="1" applyAlignment="1">
      <alignment horizontal="center" vertical="center"/>
    </xf>
    <xf numFmtId="169" fontId="60" fillId="15" borderId="1" xfId="0" applyNumberFormat="1" applyFont="1" applyFill="1" applyBorder="1" applyAlignment="1">
      <alignment horizontal="center" vertical="center"/>
    </xf>
    <xf numFmtId="169" fontId="61" fillId="15" borderId="1" xfId="0" applyNumberFormat="1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left" vertical="center"/>
    </xf>
    <xf numFmtId="10" fontId="22" fillId="6" borderId="1" xfId="0" applyNumberFormat="1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169" fontId="60" fillId="6" borderId="1" xfId="0" applyNumberFormat="1" applyFont="1" applyFill="1" applyBorder="1" applyAlignment="1">
      <alignment horizontal="center" vertical="center"/>
    </xf>
    <xf numFmtId="0" fontId="22" fillId="6" borderId="15" xfId="0" applyFont="1" applyFill="1" applyBorder="1" applyAlignment="1">
      <alignment horizontal="left" vertical="center"/>
    </xf>
    <xf numFmtId="0" fontId="62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0" fontId="63" fillId="0" borderId="0" xfId="0" applyFont="1"/>
    <xf numFmtId="0" fontId="39" fillId="0" borderId="0" xfId="0" applyFont="1"/>
    <xf numFmtId="0" fontId="24" fillId="26" borderId="6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2" fontId="64" fillId="0" borderId="16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64" fillId="0" borderId="16" xfId="0" applyFont="1" applyBorder="1" applyAlignment="1">
      <alignment horizontal="center"/>
    </xf>
    <xf numFmtId="0" fontId="24" fillId="28" borderId="6" xfId="0" applyFont="1" applyFill="1" applyBorder="1" applyAlignment="1">
      <alignment horizontal="center" vertical="center" wrapText="1"/>
    </xf>
    <xf numFmtId="0" fontId="26" fillId="6" borderId="6" xfId="0" applyFont="1" applyFill="1" applyBorder="1"/>
    <xf numFmtId="168" fontId="38" fillId="0" borderId="6" xfId="0" applyNumberFormat="1" applyFont="1" applyBorder="1"/>
    <xf numFmtId="168" fontId="26" fillId="6" borderId="6" xfId="0" applyNumberFormat="1" applyFont="1" applyFill="1" applyBorder="1"/>
    <xf numFmtId="0" fontId="26" fillId="13" borderId="6" xfId="0" applyFont="1" applyFill="1" applyBorder="1"/>
    <xf numFmtId="168" fontId="26" fillId="13" borderId="6" xfId="0" applyNumberFormat="1" applyFont="1" applyFill="1" applyBorder="1"/>
    <xf numFmtId="168" fontId="23" fillId="18" borderId="6" xfId="0" applyNumberFormat="1" applyFont="1" applyFill="1" applyBorder="1" applyAlignment="1">
      <alignment horizontal="center" vertical="center" wrapText="1"/>
    </xf>
    <xf numFmtId="168" fontId="67" fillId="20" borderId="6" xfId="0" applyNumberFormat="1" applyFont="1" applyFill="1" applyBorder="1" applyAlignment="1">
      <alignment horizontal="center" vertical="center" wrapText="1"/>
    </xf>
    <xf numFmtId="167" fontId="68" fillId="17" borderId="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170" fontId="1" fillId="0" borderId="0" xfId="0" applyNumberFormat="1" applyFont="1" applyAlignment="1">
      <alignment horizontal="center" vertical="center"/>
    </xf>
    <xf numFmtId="0" fontId="69" fillId="30" borderId="1" xfId="0" applyFont="1" applyFill="1" applyBorder="1" applyAlignment="1">
      <alignment vertical="center"/>
    </xf>
    <xf numFmtId="0" fontId="70" fillId="0" borderId="17" xfId="0" applyFont="1" applyBorder="1" applyAlignment="1">
      <alignment vertical="center"/>
    </xf>
    <xf numFmtId="0" fontId="71" fillId="14" borderId="18" xfId="0" applyFont="1" applyFill="1" applyBorder="1"/>
    <xf numFmtId="0" fontId="71" fillId="14" borderId="0" xfId="0" applyFont="1" applyFill="1"/>
    <xf numFmtId="0" fontId="70" fillId="0" borderId="19" xfId="0" applyFont="1" applyBorder="1" applyAlignment="1">
      <alignment vertical="center"/>
    </xf>
    <xf numFmtId="0" fontId="70" fillId="0" borderId="0" xfId="0" applyFont="1" applyAlignment="1">
      <alignment vertical="center"/>
    </xf>
    <xf numFmtId="0" fontId="70" fillId="0" borderId="3" xfId="0" applyFont="1" applyBorder="1" applyAlignment="1">
      <alignment vertical="center"/>
    </xf>
    <xf numFmtId="0" fontId="1" fillId="31" borderId="20" xfId="0" applyFont="1" applyFill="1" applyBorder="1"/>
    <xf numFmtId="0" fontId="72" fillId="31" borderId="20" xfId="0" applyFont="1" applyFill="1" applyBorder="1"/>
    <xf numFmtId="0" fontId="72" fillId="31" borderId="0" xfId="0" applyFont="1" applyFill="1"/>
    <xf numFmtId="0" fontId="72" fillId="32" borderId="21" xfId="0" applyFont="1" applyFill="1" applyBorder="1"/>
    <xf numFmtId="0" fontId="72" fillId="32" borderId="22" xfId="0" applyFont="1" applyFill="1" applyBorder="1" applyAlignment="1">
      <alignment horizontal="left"/>
    </xf>
    <xf numFmtId="0" fontId="72" fillId="32" borderId="23" xfId="0" applyFont="1" applyFill="1" applyBorder="1" applyAlignment="1">
      <alignment horizontal="center"/>
    </xf>
    <xf numFmtId="0" fontId="72" fillId="33" borderId="24" xfId="0" applyFont="1" applyFill="1" applyBorder="1" applyAlignment="1">
      <alignment horizontal="center"/>
    </xf>
    <xf numFmtId="0" fontId="72" fillId="0" borderId="24" xfId="0" applyFont="1" applyBorder="1" applyAlignment="1">
      <alignment horizontal="center"/>
    </xf>
    <xf numFmtId="0" fontId="1" fillId="0" borderId="25" xfId="0" applyFont="1" applyBorder="1"/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166" fontId="1" fillId="0" borderId="16" xfId="0" applyNumberFormat="1" applyFont="1" applyBorder="1" applyAlignment="1">
      <alignment horizontal="center"/>
    </xf>
    <xf numFmtId="170" fontId="1" fillId="0" borderId="16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left"/>
    </xf>
    <xf numFmtId="0" fontId="1" fillId="8" borderId="25" xfId="0" applyFont="1" applyFill="1" applyBorder="1"/>
    <xf numFmtId="0" fontId="0" fillId="0" borderId="1" xfId="0" applyBorder="1" applyAlignment="1">
      <alignment vertical="center"/>
    </xf>
    <xf numFmtId="166" fontId="1" fillId="0" borderId="1" xfId="0" applyNumberFormat="1" applyFont="1" applyBorder="1" applyAlignment="1">
      <alignment horizontal="center"/>
    </xf>
    <xf numFmtId="166" fontId="1" fillId="34" borderId="16" xfId="0" applyNumberFormat="1" applyFont="1" applyFill="1" applyBorder="1" applyAlignment="1">
      <alignment horizontal="center"/>
    </xf>
    <xf numFmtId="170" fontId="1" fillId="34" borderId="16" xfId="0" applyNumberFormat="1" applyFont="1" applyFill="1" applyBorder="1" applyAlignment="1">
      <alignment horizontal="center" vertical="center"/>
    </xf>
    <xf numFmtId="0" fontId="1" fillId="0" borderId="26" xfId="0" applyFont="1" applyBorder="1"/>
    <xf numFmtId="170" fontId="1" fillId="0" borderId="27" xfId="0" applyNumberFormat="1" applyFont="1" applyBorder="1" applyAlignment="1">
      <alignment horizontal="center" vertical="center"/>
    </xf>
    <xf numFmtId="170" fontId="1" fillId="0" borderId="28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horizontal="center"/>
    </xf>
    <xf numFmtId="164" fontId="18" fillId="35" borderId="1" xfId="0" applyNumberFormat="1" applyFont="1" applyFill="1" applyBorder="1"/>
    <xf numFmtId="9" fontId="17" fillId="36" borderId="1" xfId="0" applyNumberFormat="1" applyFont="1" applyFill="1" applyBorder="1"/>
    <xf numFmtId="0" fontId="19" fillId="35" borderId="23" xfId="0" applyFont="1" applyFill="1" applyBorder="1"/>
    <xf numFmtId="0" fontId="19" fillId="0" borderId="20" xfId="0" applyFont="1" applyBorder="1"/>
    <xf numFmtId="9" fontId="20" fillId="9" borderId="30" xfId="0" applyNumberFormat="1" applyFont="1" applyFill="1" applyBorder="1"/>
    <xf numFmtId="0" fontId="1" fillId="0" borderId="17" xfId="0" applyFont="1" applyBorder="1" applyAlignment="1">
      <alignment vertical="center"/>
    </xf>
    <xf numFmtId="171" fontId="69" fillId="30" borderId="1" xfId="0" applyNumberFormat="1" applyFont="1" applyFill="1" applyBorder="1" applyAlignment="1">
      <alignment vertical="center"/>
    </xf>
    <xf numFmtId="0" fontId="2" fillId="2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39" fillId="0" borderId="0" xfId="0" applyFont="1" applyAlignment="1">
      <alignment horizontal="left" vertical="center" wrapText="1"/>
    </xf>
    <xf numFmtId="0" fontId="13" fillId="0" borderId="3" xfId="0" applyFont="1" applyBorder="1" applyAlignment="1">
      <alignment horizontal="left" vertical="center"/>
    </xf>
    <xf numFmtId="164" fontId="11" fillId="0" borderId="0" xfId="0" applyNumberFormat="1" applyFont="1" applyAlignment="1">
      <alignment horizontal="left" vertical="center" wrapText="1"/>
    </xf>
    <xf numFmtId="0" fontId="23" fillId="11" borderId="0" xfId="0" applyFont="1" applyFill="1" applyAlignment="1">
      <alignment horizontal="center" vertical="center" wrapText="1"/>
    </xf>
    <xf numFmtId="0" fontId="24" fillId="12" borderId="6" xfId="0" applyFont="1" applyFill="1" applyBorder="1" applyAlignment="1">
      <alignment horizontal="center" vertical="center" wrapText="1"/>
    </xf>
    <xf numFmtId="0" fontId="26" fillId="9" borderId="6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43" fillId="7" borderId="7" xfId="0" applyFont="1" applyFill="1" applyBorder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52" fillId="2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5" fillId="25" borderId="11" xfId="0" applyFont="1" applyFill="1" applyBorder="1" applyAlignment="1">
      <alignment horizontal="center" vertical="center"/>
    </xf>
    <xf numFmtId="0" fontId="56" fillId="7" borderId="12" xfId="0" applyFont="1" applyFill="1" applyBorder="1" applyAlignment="1">
      <alignment horizontal="center" vertical="center"/>
    </xf>
    <xf numFmtId="0" fontId="57" fillId="5" borderId="7" xfId="0" applyFont="1" applyFill="1" applyBorder="1" applyAlignment="1">
      <alignment horizontal="left" vertical="center"/>
    </xf>
    <xf numFmtId="0" fontId="58" fillId="16" borderId="7" xfId="0" applyFont="1" applyFill="1" applyBorder="1" applyAlignment="1">
      <alignment horizontal="left" vertical="center"/>
    </xf>
    <xf numFmtId="0" fontId="56" fillId="7" borderId="14" xfId="0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0" fillId="35" borderId="17" xfId="0" applyFill="1" applyBorder="1" applyAlignment="1">
      <alignment horizontal="center"/>
    </xf>
    <xf numFmtId="0" fontId="0" fillId="35" borderId="29" xfId="0" applyFill="1" applyBorder="1" applyAlignment="1">
      <alignment horizontal="center"/>
    </xf>
    <xf numFmtId="0" fontId="65" fillId="27" borderId="0" xfId="0" applyFont="1" applyFill="1" applyAlignment="1">
      <alignment horizontal="center" vertical="center" wrapText="1"/>
    </xf>
    <xf numFmtId="0" fontId="0" fillId="29" borderId="0" xfId="0" applyFill="1" applyAlignment="1"/>
    <xf numFmtId="0" fontId="23" fillId="18" borderId="0" xfId="0" applyFont="1" applyFill="1" applyAlignment="1"/>
    <xf numFmtId="0" fontId="66" fillId="9" borderId="0" xfId="0" applyFont="1" applyFill="1" applyAlignment="1"/>
    <xf numFmtId="0" fontId="66" fillId="17" borderId="0" xfId="0" applyFont="1" applyFill="1" applyAlignmen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EAF3DE"/>
      <rgbColor rgb="FF0000FF"/>
      <rgbColor rgb="FFFFFF00"/>
      <rgbColor rgb="FFF1F5F9"/>
      <rgbColor rgb="FFE2EFDA"/>
      <rgbColor rgb="FFC00000"/>
      <rgbColor rgb="FF008000"/>
      <rgbColor rgb="FF000080"/>
      <rgbColor rgb="FF548235"/>
      <rgbColor rgb="FF800080"/>
      <rgbColor rgb="FF2E75B6"/>
      <rgbColor rgb="FFBFBFBF"/>
      <rgbColor rgb="FF7F7F7F"/>
      <rgbColor rgb="FFBDD7EE"/>
      <rgbColor rgb="FF475569"/>
      <rgbColor rgb="FFFEF3C7"/>
      <rgbColor rgb="FFDDEEFF"/>
      <rgbColor rgb="FF660066"/>
      <rgbColor rgb="FFE26B0A"/>
      <rgbColor rgb="FF0070C0"/>
      <rgbColor rgb="FFCBD5E1"/>
      <rgbColor rgb="FF000080"/>
      <rgbColor rgb="FFFFF7ED"/>
      <rgbColor rgb="FFD9F2D0"/>
      <rgbColor rgb="FFE8E8E8"/>
      <rgbColor rgb="FF800080"/>
      <rgbColor rgb="FF800000"/>
      <rgbColor rgb="FF1D4ED8"/>
      <rgbColor rgb="FF3333FF"/>
      <rgbColor rgb="FF0EA5E9"/>
      <rgbColor rgb="FFDBEAFE"/>
      <rgbColor rgb="FFC2F1C8"/>
      <rgbColor rgb="FFFFF2CC"/>
      <rgbColor rgb="FF93C5FD"/>
      <rgbColor rgb="FFD9D9D9"/>
      <rgbColor rgb="FFD1D1D1"/>
      <rgbColor rgb="FFFBE3D6"/>
      <rgbColor rgb="FF2563EB"/>
      <rgbColor rgb="FFDCEAF7"/>
      <rgbColor rgb="FF92D050"/>
      <rgbColor rgb="FFFFC000"/>
      <rgbColor rgb="FFD97706"/>
      <rgbColor rgb="FFFF6600"/>
      <rgbColor rgb="FF595959"/>
      <rgbColor rgb="FFD6E8F6"/>
      <rgbColor rgb="FF1B2A4A"/>
      <rgbColor rgb="FF4472C4"/>
      <rgbColor rgb="FF003300"/>
      <rgbColor rgb="FF375623"/>
      <rgbColor rgb="FFEBF3FB"/>
      <rgbColor rgb="FFF2F2F2"/>
      <rgbColor rgb="FF1F4E79"/>
      <rgbColor rgb="FF3341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microsoft.com/office/2017/06/relationships/rdSupportingPropertyBag" Target="richData/rdsupportingpropertybag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6" Type="http://schemas.microsoft.com/office/2017/06/relationships/richStyles" Target="richData/rich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23" Type="http://schemas.openxmlformats.org/officeDocument/2006/relationships/customXml" Target="../customXml/item3.xml"/><Relationship Id="rId10" Type="http://schemas.openxmlformats.org/officeDocument/2006/relationships/theme" Target="theme/theme1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06/relationships/rdRichValue" Target="richData/rdrichvalue.xml"/><Relationship Id="rId22" Type="http://schemas.openxmlformats.org/officeDocument/2006/relationships/customXml" Target="../customXml/item2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2">
  <rv s="0">
    <v>en-IN</v>
    <v>avyo8m</v>
    <v>268435456</v>
    <v>1</v>
    <v>Powered by Refinitiv</v>
    <v>0</v>
    <v>USD/INR</v>
    <v>2</v>
    <v>3</v>
    <v>Finance</v>
    <v>4</v>
    <v>96.96</v>
    <v>87.597999999999999</v>
    <v>0.22</v>
    <v>2.3050000000000002E-3</v>
    <v>INR</v>
    <v>USD</v>
    <v>95.792500000000004</v>
    <v>Currency Pair</v>
    <v>46276.359988425924</v>
    <v>95.63</v>
    <v>US Dollar/Indian Rupee FX Spot Rate</v>
    <v>95.69</v>
    <v>95.44</v>
    <v>95.66</v>
    <v>USDINR</v>
    <v>USD/INR</v>
  </rv>
  <rv s="1">
    <v>0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From currency" t="s"/>
    <k n="High"/>
    <k n="Instrument type" t="s"/>
    <k n="Last trade time"/>
    <k n="Low"/>
    <k n="Name" t="s"/>
    <k n="Open"/>
    <k n="Previous close"/>
    <k n="Price"/>
    <k n="Ticker symbol" t="s"/>
    <k n="UniqueName" t="s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7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Open</v>
      <v t="s">High</v>
      <v t="s">Low</v>
      <v t="s">52 week high</v>
      <v t="s">52 week low</v>
      <v t="s">Instrument type</v>
      <v t="s">_Flags</v>
      <v t="s">UniqueName</v>
      <v t="s">_DisplayString</v>
      <v t="s">%ProviderInfo</v>
    </a>
  </spbArrays>
  <spbData count="5">
    <spb s="0">
      <v>0</v>
      <v>Name</v>
    </spb>
    <spb s="1">
      <v>0</v>
      <v>0</v>
      <v>0</v>
    </spb>
    <spb s="2">
      <v>1</v>
      <v>1</v>
    </spb>
    <spb s="3">
      <v>1</v>
      <v>1</v>
      <v>2</v>
      <v>1</v>
      <v>1</v>
      <v>1</v>
      <v>3</v>
      <v>1</v>
      <v>1</v>
      <v>1</v>
      <v>4</v>
      <v>5</v>
    </spb>
    <spb s="4">
      <v>GMT</v>
    </spb>
  </spbData>
</supportingPropertyBags>
</file>

<file path=xl/richData/rdsupportingpropertybagstructure.xml><?xml version="1.0" encoding="utf-8"?>
<spbStructures xmlns="http://schemas.microsoft.com/office/spreadsheetml/2017/richdata2" count="5"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Low" t="i"/>
    <k n="High" t="i"/>
    <k n="Name" t="i"/>
    <k n="Open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2" formatCode="0.00"/>
    </x:dxf>
    <x:dxf>
      <x:numFmt numFmtId="0" formatCode="General"/>
    </x:dxf>
    <x:dxf>
      <x:numFmt numFmtId="27" formatCode="m/d/yyyy\ h:mm"/>
    </x:dxf>
    <x:dxf>
      <x:numFmt numFmtId="14" formatCode="0.00%"/>
    </x:dxf>
  </dxfs>
  <richProperties>
    <rPr n="NumberFormat" t="s"/>
    <rPr n="IsTitleField" t="b"/>
  </richProperties>
  <richStyles>
    <rSty dxfid="1">
      <rpv i="0" xml:space="preserve">_ [$₹-en-IN] * #,##0.00_ ;_ [$₹-en-IN] * -#,##0.00_ ;_ [$₹-en-IN] * "-"??_ ;_ @_ </rpv>
    </rSty>
    <rSty>
      <rpv i="1">1</rpv>
    </rSty>
    <rSty dxfid="3"/>
    <rSty dxfid="2"/>
    <rSty dxfid="0">
      <rpv i="0">0.00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5"/>
  <sheetViews>
    <sheetView showGridLines="0" topLeftCell="A5" zoomScale="67" zoomScaleNormal="67" workbookViewId="0">
      <selection activeCell="B6" sqref="B6"/>
    </sheetView>
  </sheetViews>
  <sheetFormatPr defaultColWidth="8.7109375" defaultRowHeight="12.95"/>
  <cols>
    <col min="1" max="1" width="3" style="4" customWidth="1"/>
    <col min="2" max="2" width="32" style="4" customWidth="1"/>
    <col min="3" max="3" width="104.42578125" style="5" customWidth="1"/>
    <col min="4" max="4" width="3" style="4" customWidth="1"/>
    <col min="5" max="16384" width="8.7109375" style="4"/>
  </cols>
  <sheetData>
    <row r="1" spans="2:3" ht="12" customHeight="1"/>
    <row r="2" spans="2:3" ht="36" customHeight="1">
      <c r="B2" s="165" t="s">
        <v>0</v>
      </c>
      <c r="C2" s="165"/>
    </row>
    <row r="3" spans="2:3" ht="25.5" customHeight="1">
      <c r="B3" s="166" t="s">
        <v>1</v>
      </c>
      <c r="C3" s="166"/>
    </row>
    <row r="4" spans="2:3" ht="9.75" customHeight="1"/>
    <row r="5" spans="2:3" ht="24" customHeight="1">
      <c r="B5" s="167" t="s">
        <v>2</v>
      </c>
      <c r="C5" s="167"/>
    </row>
    <row r="6" spans="2:3" ht="24" customHeight="1">
      <c r="B6" s="6" t="s">
        <v>3</v>
      </c>
      <c r="C6" s="7" t="s">
        <v>4</v>
      </c>
    </row>
    <row r="7" spans="2:3" ht="36" customHeight="1">
      <c r="B7" s="8" t="s">
        <v>5</v>
      </c>
      <c r="C7" s="9" t="s">
        <v>6</v>
      </c>
    </row>
    <row r="8" spans="2:3" ht="36" customHeight="1">
      <c r="B8" s="6" t="s">
        <v>7</v>
      </c>
      <c r="C8" s="7" t="s">
        <v>8</v>
      </c>
    </row>
    <row r="9" spans="2:3" ht="36" customHeight="1">
      <c r="B9" s="8" t="s">
        <v>9</v>
      </c>
      <c r="C9" s="9" t="s">
        <v>10</v>
      </c>
    </row>
    <row r="10" spans="2:3" ht="36" customHeight="1">
      <c r="B10" s="10" t="s">
        <v>11</v>
      </c>
      <c r="C10" s="9" t="s">
        <v>12</v>
      </c>
    </row>
    <row r="11" spans="2:3" ht="36" customHeight="1">
      <c r="B11" s="10" t="s">
        <v>13</v>
      </c>
      <c r="C11" s="9" t="s">
        <v>14</v>
      </c>
    </row>
    <row r="12" spans="2:3" ht="36" customHeight="1">
      <c r="B12" s="11" t="s">
        <v>15</v>
      </c>
      <c r="C12" s="7" t="s">
        <v>16</v>
      </c>
    </row>
    <row r="13" spans="2:3" ht="36" customHeight="1"/>
    <row r="16" spans="2:3" ht="24" customHeight="1">
      <c r="B16" s="167" t="s">
        <v>17</v>
      </c>
      <c r="C16" s="167"/>
    </row>
    <row r="17" spans="2:3" ht="36" customHeight="1">
      <c r="B17" s="10" t="s">
        <v>18</v>
      </c>
      <c r="C17" s="9" t="s">
        <v>19</v>
      </c>
    </row>
    <row r="18" spans="2:3" ht="36" customHeight="1">
      <c r="B18" s="11" t="s">
        <v>20</v>
      </c>
      <c r="C18" s="7" t="s">
        <v>21</v>
      </c>
    </row>
    <row r="19" spans="2:3" ht="36" customHeight="1">
      <c r="B19" s="10" t="s">
        <v>22</v>
      </c>
      <c r="C19" s="9" t="s">
        <v>23</v>
      </c>
    </row>
    <row r="20" spans="2:3" ht="36" customHeight="1">
      <c r="B20" s="11" t="s">
        <v>24</v>
      </c>
      <c r="C20" s="7" t="s">
        <v>25</v>
      </c>
    </row>
    <row r="21" spans="2:3" ht="36" customHeight="1">
      <c r="B21" s="10" t="s">
        <v>26</v>
      </c>
      <c r="C21" s="9" t="s">
        <v>27</v>
      </c>
    </row>
    <row r="22" spans="2:3" ht="36" customHeight="1">
      <c r="B22" s="11" t="s">
        <v>28</v>
      </c>
      <c r="C22" s="7" t="s">
        <v>29</v>
      </c>
    </row>
    <row r="23" spans="2:3" ht="36" customHeight="1">
      <c r="B23" s="10" t="s">
        <v>30</v>
      </c>
      <c r="C23" s="9" t="s">
        <v>31</v>
      </c>
    </row>
    <row r="25" spans="2:3" ht="19.5" customHeight="1"/>
  </sheetData>
  <mergeCells count="4">
    <mergeCell ref="B2:C2"/>
    <mergeCell ref="B3:C3"/>
    <mergeCell ref="B5:C5"/>
    <mergeCell ref="B16:C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3"/>
  <sheetViews>
    <sheetView showGridLines="0" tabSelected="1" zoomScale="84" zoomScaleNormal="84" workbookViewId="0">
      <selection activeCell="C6" sqref="C6"/>
    </sheetView>
  </sheetViews>
  <sheetFormatPr defaultColWidth="8.5703125" defaultRowHeight="14.45"/>
  <cols>
    <col min="1" max="1" width="4.7109375" customWidth="1"/>
    <col min="2" max="2" width="52.5703125" customWidth="1"/>
    <col min="3" max="3" width="20" customWidth="1"/>
    <col min="4" max="4" width="21.7109375" customWidth="1"/>
    <col min="5" max="5" width="21.42578125" customWidth="1"/>
    <col min="6" max="6" width="18.5703125" customWidth="1"/>
    <col min="7" max="7" width="10" customWidth="1"/>
    <col min="8" max="8" width="8" customWidth="1"/>
  </cols>
  <sheetData>
    <row r="2" spans="2:8" ht="25.5" customHeight="1">
      <c r="B2" s="12" t="s">
        <v>32</v>
      </c>
      <c r="C2" s="12"/>
      <c r="D2" s="12"/>
      <c r="E2" s="12"/>
    </row>
    <row r="3" spans="2:8" ht="21.75" customHeight="1">
      <c r="B3" s="13" t="s">
        <v>33</v>
      </c>
      <c r="C3" s="14" t="s">
        <v>34</v>
      </c>
      <c r="D3" s="15"/>
      <c r="E3" s="16"/>
    </row>
    <row r="4" spans="2:8" ht="21.75" customHeight="1">
      <c r="B4" s="17" t="s">
        <v>35</v>
      </c>
      <c r="C4" s="18" t="s">
        <v>36</v>
      </c>
      <c r="D4" s="169" t="s">
        <v>37</v>
      </c>
      <c r="E4" s="169"/>
      <c r="F4" s="169"/>
    </row>
    <row r="5" spans="2:8" ht="14.25" customHeight="1">
      <c r="B5" s="19"/>
      <c r="C5" s="20" t="s">
        <v>38</v>
      </c>
      <c r="D5" s="20" t="s">
        <v>39</v>
      </c>
      <c r="E5" s="21" t="s">
        <v>40</v>
      </c>
      <c r="F5" s="22" t="s">
        <v>41</v>
      </c>
    </row>
    <row r="6" spans="2:8" ht="14.25" customHeight="1">
      <c r="B6" s="23" t="s">
        <v>42</v>
      </c>
      <c r="C6" s="24">
        <f>'Revenue &amp; Cost_Onshore'!L29</f>
        <v>3386.875</v>
      </c>
      <c r="D6" s="24">
        <f>'Revenue &amp; Cost_Onshore'!M29</f>
        <v>6773.75</v>
      </c>
      <c r="E6" s="25">
        <f>(D6-C6)/D6</f>
        <v>0.5</v>
      </c>
      <c r="F6" s="25">
        <f>IFERROR(IF(C4="","",E6*INDEX('Vertical-Based GM Calculation'!$O$2:$O$8,MATCH(C4,'Vertical-Based GM Calculation'!$A$2:$A$8,0))),"N/A")</f>
        <v>0.3524610136452242</v>
      </c>
    </row>
    <row r="7" spans="2:8" ht="14.25" customHeight="1" thickBot="1">
      <c r="B7" s="26" t="s">
        <v>43</v>
      </c>
      <c r="C7" s="27">
        <f>'Revenue &amp; Cost_Offshore '!L29</f>
        <v>1164.8745519713261</v>
      </c>
      <c r="D7" s="27">
        <f>'Revenue &amp; Cost_Offshore '!M29</f>
        <v>2329.7491039426523</v>
      </c>
      <c r="E7" s="28">
        <f>(D7-C7)/D7</f>
        <v>0.5</v>
      </c>
      <c r="F7" s="28">
        <f>IFERROR(IF(C4="","",E7*INDEX('Vertical-Based GM Calculation'!$N$2:$N$8,MATCH(C4,'Vertical-Based GM Calculation'!$A$2:$A$8,0))),"N/A")</f>
        <v>0.39840695148443156</v>
      </c>
    </row>
    <row r="8" spans="2:8" ht="14.25" customHeight="1" thickBot="1">
      <c r="B8" s="19" t="s">
        <v>44</v>
      </c>
      <c r="C8" s="158">
        <f>$H$8*(C6+C7)</f>
        <v>227.58747759856635</v>
      </c>
      <c r="D8" s="158"/>
      <c r="E8" s="159"/>
      <c r="F8" s="160"/>
      <c r="G8" s="161" t="s">
        <v>45</v>
      </c>
      <c r="H8" s="162">
        <v>0.05</v>
      </c>
    </row>
    <row r="9" spans="2:8" ht="14.25" customHeight="1">
      <c r="B9" s="19" t="s">
        <v>46</v>
      </c>
      <c r="C9" s="29">
        <f>'IP_Product Cost'!G15</f>
        <v>0</v>
      </c>
      <c r="D9" s="29">
        <f>'IP_Product Cost'!G16</f>
        <v>0</v>
      </c>
      <c r="E9" s="30"/>
      <c r="F9" s="30"/>
    </row>
    <row r="10" spans="2:8" ht="14.25" customHeight="1">
      <c r="B10" s="31" t="s">
        <v>47</v>
      </c>
      <c r="C10" s="32">
        <f>SUM(C6:C9)</f>
        <v>4779.3370295698933</v>
      </c>
      <c r="D10" s="32">
        <f>SUM(D6:D9)</f>
        <v>9103.4991039426532</v>
      </c>
      <c r="E10" s="30">
        <f>IFERROR((D10-C10)/D10,"-")</f>
        <v>0.47499999999999998</v>
      </c>
      <c r="F10" s="30">
        <f>IFERROR(IF(C4="","",E10*INDEX('Vertical-Based GM Calculation'!$M$2:$M$8,MATCH(C4,'Vertical-Based GM Calculation'!$A$2:$A$8,0))),"N/A")</f>
        <v>0.37247226624405705</v>
      </c>
    </row>
    <row r="11" spans="2:8" ht="14.25" customHeight="1">
      <c r="C11" s="170"/>
      <c r="D11" s="170"/>
      <c r="E11" s="170"/>
      <c r="F11" s="170"/>
      <c r="H11" s="34"/>
    </row>
    <row r="12" spans="2:8" ht="18.75" customHeight="1">
      <c r="B12" s="171" t="s">
        <v>48</v>
      </c>
      <c r="C12" s="171"/>
      <c r="D12" s="171"/>
      <c r="E12" s="171"/>
      <c r="F12" s="171"/>
    </row>
    <row r="13" spans="2:8" ht="14.25" customHeight="1">
      <c r="B13" s="3" t="s">
        <v>49</v>
      </c>
      <c r="C13" s="3" t="s">
        <v>50</v>
      </c>
      <c r="D13" s="172" t="s">
        <v>51</v>
      </c>
      <c r="E13" s="172"/>
      <c r="F13" s="172"/>
    </row>
    <row r="14" spans="2:8" ht="24.75" customHeight="1">
      <c r="B14" s="35">
        <f>'Revenue &amp; Cost_Onshore'!F31+'Revenue &amp; Cost_Offshore '!G31</f>
        <v>2</v>
      </c>
      <c r="C14" s="35" t="str">
        <f>IF(COUNTIF('Revenue &amp; Cost_Onshore'!D9:D28,"*Manager*")+COUNTIF('Revenue &amp; Cost_Onshore'!D9:D28,"*Scrum*")+COUNTIF('Revenue &amp; Cost_Offshore '!D9:D28,"*Manager*")+COUNTIF('Revenue &amp; Cost_Offshore '!D9:D28,"*Scrum*")&gt;0,"✅ YES","❌ NO")</f>
        <v>❌ NO</v>
      </c>
      <c r="D14" s="173" t="str">
        <f>IFERROR(IF(AND(B14&gt;4,C14="❌ NO"),"⚠️ Project Manager effort not included. Recommended review — ensure adequate Program Management effort is included for this engagement (&gt;4 FTEs detected).",IF(B14&gt;4,"✅ PM effort included. No action needed.","ℹ️ Small team (&lt;5 FTEs) — PM review optional.")), "ℹ️ Configure resources to enable PM check.")</f>
        <v>ℹ️ Small team (&lt;5 FTEs) — PM review optional.</v>
      </c>
      <c r="E14" s="173"/>
      <c r="F14" s="173"/>
    </row>
    <row r="15" spans="2:8" ht="21.75" customHeight="1">
      <c r="B15" s="33"/>
      <c r="C15" s="36"/>
      <c r="D15" s="36"/>
      <c r="E15" s="37"/>
      <c r="F15" s="33"/>
    </row>
    <row r="16" spans="2:8" ht="21.75" customHeight="1">
      <c r="B16" s="38" t="s">
        <v>52</v>
      </c>
      <c r="C16" s="39"/>
      <c r="D16" s="39"/>
      <c r="E16" s="40"/>
      <c r="F16" s="41"/>
    </row>
    <row r="17" spans="2:6" ht="21.75" customHeight="1">
      <c r="B17" s="22"/>
      <c r="C17" s="22" t="s">
        <v>53</v>
      </c>
      <c r="D17" s="22" t="s">
        <v>54</v>
      </c>
      <c r="E17" s="22" t="s">
        <v>55</v>
      </c>
      <c r="F17" s="22" t="s">
        <v>41</v>
      </c>
    </row>
    <row r="18" spans="2:6" ht="19.5" customHeight="1">
      <c r="B18" s="42" t="s">
        <v>56</v>
      </c>
      <c r="C18" s="43">
        <f>$C$10</f>
        <v>4779.3370295698933</v>
      </c>
      <c r="D18" s="44">
        <f>IFERROR(C18/(1-E18),"-")</f>
        <v>9558.6740591397866</v>
      </c>
      <c r="E18" s="45">
        <v>0.5</v>
      </c>
      <c r="F18" s="46" t="str">
        <f>IFERROR(IF(C4="","",E18*IFERROR(INDEX('Vertical-Based GM Calculation'!$C$15:$C$21,MATCH(C4,'Vertical-Based GM Calculation'!$A$15:$A$21,0)),"")),"")</f>
        <v/>
      </c>
    </row>
    <row r="19" spans="2:6" ht="13.5" customHeight="1">
      <c r="B19" s="47" t="s">
        <v>57</v>
      </c>
      <c r="C19" s="43">
        <f>$C$10</f>
        <v>4779.3370295698933</v>
      </c>
      <c r="D19" s="44">
        <f>IFERROR(C19/(1-E19),"-")</f>
        <v>477933.70295698888</v>
      </c>
      <c r="E19" s="45">
        <v>0.99</v>
      </c>
      <c r="F19" s="48" t="str">
        <f>IFERROR(IF(C4="","",E19*IFERROR(INDEX('Vertical-Based GM Calculation'!$C$15:$C$21,MATCH(C4,'Vertical-Based GM Calculation'!$A$15:$A$21,0)),"")),"")</f>
        <v/>
      </c>
    </row>
    <row r="20" spans="2:6" ht="14.25" customHeight="1">
      <c r="B20" s="49"/>
    </row>
    <row r="21" spans="2:6" ht="14.25" customHeight="1">
      <c r="B21" s="50" t="s">
        <v>58</v>
      </c>
      <c r="C21" s="51" t="s">
        <v>59</v>
      </c>
      <c r="D21" s="52" t="s">
        <v>60</v>
      </c>
      <c r="E21" s="53" t="s">
        <v>61</v>
      </c>
      <c r="F21" s="54"/>
    </row>
    <row r="23" spans="2:6" ht="30" customHeight="1">
      <c r="B23" s="168"/>
      <c r="C23" s="168"/>
      <c r="D23" s="168"/>
      <c r="E23" s="168"/>
      <c r="F23" s="168"/>
    </row>
  </sheetData>
  <mergeCells count="6">
    <mergeCell ref="B23:F23"/>
    <mergeCell ref="D4:F4"/>
    <mergeCell ref="C11:F11"/>
    <mergeCell ref="B12:F12"/>
    <mergeCell ref="D13:F13"/>
    <mergeCell ref="D14:F14"/>
  </mergeCells>
  <dataValidations count="3">
    <dataValidation allowBlank="1" showErrorMessage="1" sqref="C3" xr:uid="{00000000-0002-0000-0100-000000000000}">
      <formula1>0</formula1>
      <formula2>0</formula2>
    </dataValidation>
    <dataValidation type="list" allowBlank="1" showErrorMessage="1" errorTitle="Invalid Vertical" error="Please select from the dropdown list" sqref="C4" xr:uid="{00000000-0002-0000-0100-000001000000}">
      <formula1>VerticalList</formula1>
      <formula2>0</formula2>
    </dataValidation>
    <dataValidation type="list" sqref="H8" xr:uid="{00000000-0002-0000-0100-000002000000}">
      <formula1>"0.05,0.06,0.07,0.08,0.09,0.1"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5"/>
  <sheetViews>
    <sheetView showGridLines="0" topLeftCell="A6" zoomScale="58" zoomScaleNormal="58" workbookViewId="0">
      <selection activeCell="D16" sqref="D16"/>
    </sheetView>
  </sheetViews>
  <sheetFormatPr defaultColWidth="8.5703125" defaultRowHeight="14.45"/>
  <cols>
    <col min="2" max="2" width="38" customWidth="1"/>
    <col min="3" max="3" width="20" customWidth="1"/>
    <col min="4" max="4" width="62" customWidth="1"/>
  </cols>
  <sheetData>
    <row r="2" spans="2:4" ht="27.75" customHeight="1">
      <c r="B2" s="56" t="s">
        <v>62</v>
      </c>
    </row>
    <row r="4" spans="2:4" ht="15" customHeight="1">
      <c r="B4" s="57" t="s">
        <v>63</v>
      </c>
    </row>
    <row r="5" spans="2:4" ht="27.75" customHeight="1">
      <c r="B5" s="22" t="s">
        <v>64</v>
      </c>
      <c r="C5" s="22" t="s">
        <v>65</v>
      </c>
      <c r="D5" s="22" t="s">
        <v>66</v>
      </c>
    </row>
    <row r="6" spans="2:4" ht="30" customHeight="1">
      <c r="B6" s="58" t="s">
        <v>67</v>
      </c>
      <c r="C6" s="59" t="s">
        <v>68</v>
      </c>
      <c r="D6" s="60" t="s">
        <v>69</v>
      </c>
    </row>
    <row r="7" spans="2:4" ht="30" customHeight="1">
      <c r="B7" s="61" t="s">
        <v>70</v>
      </c>
      <c r="C7" s="62" t="s">
        <v>71</v>
      </c>
      <c r="D7" s="63" t="s">
        <v>72</v>
      </c>
    </row>
    <row r="8" spans="2:4" ht="30" customHeight="1">
      <c r="B8" s="58" t="s">
        <v>70</v>
      </c>
      <c r="C8" s="59" t="s">
        <v>73</v>
      </c>
      <c r="D8" s="60" t="s">
        <v>74</v>
      </c>
    </row>
    <row r="9" spans="2:4" ht="30" customHeight="1">
      <c r="B9" s="61" t="s">
        <v>75</v>
      </c>
      <c r="C9" s="62" t="s">
        <v>68</v>
      </c>
      <c r="D9" s="63" t="s">
        <v>76</v>
      </c>
    </row>
    <row r="11" spans="2:4" ht="24" customHeight="1">
      <c r="B11" s="57" t="s">
        <v>77</v>
      </c>
    </row>
    <row r="12" spans="2:4" ht="24" customHeight="1">
      <c r="B12" s="22" t="s">
        <v>78</v>
      </c>
      <c r="C12" s="22" t="s">
        <v>79</v>
      </c>
    </row>
    <row r="13" spans="2:4" ht="14.25" customHeight="1">
      <c r="B13" s="64" t="s">
        <v>80</v>
      </c>
      <c r="C13" s="65">
        <v>250000</v>
      </c>
    </row>
    <row r="14" spans="2:4" ht="14.25" customHeight="1">
      <c r="B14" s="64" t="s">
        <v>81</v>
      </c>
      <c r="C14" s="65">
        <v>1000000</v>
      </c>
    </row>
    <row r="15" spans="2:4" ht="14.25" customHeight="1">
      <c r="B15" s="64" t="s">
        <v>82</v>
      </c>
      <c r="C15" s="66">
        <v>0.5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O34"/>
  <sheetViews>
    <sheetView showGridLines="0" zoomScale="76" zoomScaleNormal="76" workbookViewId="0">
      <pane xSplit="2" ySplit="8" topLeftCell="C9" activePane="bottomRight" state="frozen"/>
      <selection pane="bottomRight" activeCell="F9" sqref="F9:H10"/>
      <selection pane="bottomLeft" activeCell="A9" sqref="A9"/>
      <selection pane="topRight" activeCell="C1" sqref="C1"/>
    </sheetView>
  </sheetViews>
  <sheetFormatPr defaultColWidth="8.5703125" defaultRowHeight="14.45"/>
  <cols>
    <col min="1" max="1" width="2" customWidth="1"/>
    <col min="2" max="2" width="3" customWidth="1"/>
    <col min="3" max="3" width="22" customWidth="1"/>
    <col min="4" max="4" width="38.28515625" customWidth="1"/>
    <col min="5" max="5" width="14" customWidth="1"/>
    <col min="6" max="6" width="13" customWidth="1"/>
    <col min="7" max="8" width="10" customWidth="1"/>
    <col min="9" max="9" width="7" customWidth="1"/>
    <col min="10" max="10" width="10.42578125" customWidth="1"/>
    <col min="11" max="12" width="11" customWidth="1"/>
    <col min="13" max="14" width="12" customWidth="1"/>
    <col min="15" max="15" width="13.42578125" customWidth="1"/>
  </cols>
  <sheetData>
    <row r="1" spans="2:15" ht="4.5" customHeight="1"/>
    <row r="2" spans="2:15" ht="25.5" customHeight="1">
      <c r="B2" s="174" t="s">
        <v>83</v>
      </c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</row>
    <row r="3" spans="2:15" ht="7.5" customHeight="1"/>
    <row r="4" spans="2:15" ht="20.25" customHeight="1">
      <c r="B4" s="175" t="s">
        <v>33</v>
      </c>
      <c r="C4" s="175"/>
      <c r="D4" s="175"/>
      <c r="E4" s="176" t="str">
        <f>Margin_Summary!C3</f>
        <v xml:space="preserve">Abc </v>
      </c>
      <c r="F4" s="176"/>
      <c r="G4" s="176"/>
      <c r="H4" s="176"/>
      <c r="I4" s="176"/>
      <c r="L4" s="13"/>
      <c r="N4" s="13" t="s">
        <v>84</v>
      </c>
      <c r="O4" s="67">
        <v>160</v>
      </c>
    </row>
    <row r="5" spans="2:15" ht="20.25" customHeight="1">
      <c r="B5" s="175" t="s">
        <v>85</v>
      </c>
      <c r="C5" s="175"/>
      <c r="D5" s="175"/>
      <c r="E5" s="68">
        <v>0.5</v>
      </c>
      <c r="F5" s="177"/>
      <c r="G5" s="177"/>
      <c r="H5" s="177"/>
      <c r="I5" s="177"/>
    </row>
    <row r="6" spans="2:15" ht="20.25" customHeight="1">
      <c r="B6" s="175" t="s">
        <v>86</v>
      </c>
      <c r="C6" s="175"/>
      <c r="D6" s="175"/>
      <c r="E6" s="69">
        <f>IFERROR(IF(Margin_Summary!C4="","",E5*INDEX('Vertical-Based GM Calculation'!$O$2:$O$8,MATCH(Margin_Summary!C4,'Vertical-Based GM Calculation'!$A$2:$A$8,0))),"N/A")</f>
        <v>0.3524610136452242</v>
      </c>
      <c r="F6" s="1" t="s">
        <v>87</v>
      </c>
    </row>
    <row r="7" spans="2:15" ht="6" customHeight="1"/>
    <row r="8" spans="2:15" ht="39.75" customHeight="1">
      <c r="B8" s="70" t="s">
        <v>88</v>
      </c>
      <c r="C8" s="70" t="s">
        <v>89</v>
      </c>
      <c r="D8" s="70" t="s">
        <v>90</v>
      </c>
      <c r="E8" s="70" t="s">
        <v>91</v>
      </c>
      <c r="F8" s="70" t="s">
        <v>92</v>
      </c>
      <c r="G8" s="70" t="s">
        <v>93</v>
      </c>
      <c r="H8" s="70" t="s">
        <v>94</v>
      </c>
      <c r="I8" s="70" t="s">
        <v>95</v>
      </c>
      <c r="J8" s="70" t="s">
        <v>96</v>
      </c>
      <c r="K8" s="70" t="s">
        <v>97</v>
      </c>
      <c r="L8" s="70" t="s">
        <v>98</v>
      </c>
      <c r="M8" s="70" t="s">
        <v>99</v>
      </c>
      <c r="N8" s="70" t="s">
        <v>100</v>
      </c>
    </row>
    <row r="9" spans="2:15" ht="21.75" customHeight="1">
      <c r="B9" s="71">
        <v>1</v>
      </c>
      <c r="C9" s="72" t="s">
        <v>101</v>
      </c>
      <c r="D9" s="72" t="s">
        <v>102</v>
      </c>
      <c r="E9" s="78" t="str">
        <f t="shared" ref="E9:E28" si="0">IF(D9="","",TRIM(MID(D9,FIND("|",D9)+1,100)))</f>
        <v>2-3 Years</v>
      </c>
      <c r="F9" s="73">
        <v>1</v>
      </c>
      <c r="G9" s="73">
        <v>1</v>
      </c>
      <c r="H9" s="74">
        <v>0.5</v>
      </c>
      <c r="I9" s="75">
        <f>IFERROR(VLOOKUP(D9,'Master File - Rate Card'!$B$4:$H$163,6,0),0)</f>
        <v>42.3359375</v>
      </c>
      <c r="J9" s="75">
        <f>IFERROR(VLOOKUP(D9,'Master File - Rate Card'!$B$4:$H$163,5,0),0)</f>
        <v>81285</v>
      </c>
      <c r="K9" s="76">
        <f t="shared" ref="K9:K28" si="1">IFERROR(I9/(1-$E$5), 0)</f>
        <v>84.671875</v>
      </c>
      <c r="L9" s="77">
        <f t="shared" ref="L9:L28" si="2">F9*G9*$O$4*H9*I9</f>
        <v>3386.875</v>
      </c>
      <c r="M9" s="77">
        <f t="shared" ref="M9:M28" si="3">L9/(1-$E$5)</f>
        <v>6773.75</v>
      </c>
      <c r="N9" s="77"/>
    </row>
    <row r="10" spans="2:15" ht="21.75" customHeight="1">
      <c r="B10" s="71">
        <v>2</v>
      </c>
      <c r="C10" s="72"/>
      <c r="D10" s="72"/>
      <c r="E10" s="78" t="str">
        <f t="shared" si="0"/>
        <v/>
      </c>
      <c r="F10" s="73"/>
      <c r="G10" s="73"/>
      <c r="H10" s="74"/>
      <c r="I10" s="75">
        <f>IFERROR(VLOOKUP(D10,'Master File - Rate Card'!$B$4:$H$163,6,0),0)</f>
        <v>0</v>
      </c>
      <c r="J10" s="75">
        <f>IFERROR(VLOOKUP(D10,'Master File - Rate Card'!$B$4:$H$163,5,0),0)</f>
        <v>0</v>
      </c>
      <c r="K10" s="76">
        <f t="shared" si="1"/>
        <v>0</v>
      </c>
      <c r="L10" s="77">
        <f t="shared" si="2"/>
        <v>0</v>
      </c>
      <c r="M10" s="77">
        <f t="shared" si="3"/>
        <v>0</v>
      </c>
      <c r="N10" s="79"/>
    </row>
    <row r="11" spans="2:15" ht="21.75" customHeight="1">
      <c r="B11" s="71">
        <v>3</v>
      </c>
      <c r="C11" s="72"/>
      <c r="D11" s="72"/>
      <c r="E11" s="78" t="str">
        <f t="shared" si="0"/>
        <v/>
      </c>
      <c r="F11" s="73"/>
      <c r="G11" s="73"/>
      <c r="H11" s="74"/>
      <c r="I11" s="75">
        <f>IFERROR(VLOOKUP(D11,'Master File - Rate Card'!$B$4:$H$163,6,0),0)</f>
        <v>0</v>
      </c>
      <c r="J11" s="75">
        <f>IFERROR(VLOOKUP(D11,'Master File - Rate Card'!$B$4:$H$163,5,0),0)</f>
        <v>0</v>
      </c>
      <c r="K11" s="76">
        <f t="shared" si="1"/>
        <v>0</v>
      </c>
      <c r="L11" s="77">
        <f t="shared" si="2"/>
        <v>0</v>
      </c>
      <c r="M11" s="77">
        <f t="shared" si="3"/>
        <v>0</v>
      </c>
      <c r="N11" s="77"/>
    </row>
    <row r="12" spans="2:15" ht="21.75" customHeight="1">
      <c r="B12" s="71">
        <v>4</v>
      </c>
      <c r="C12" s="72"/>
      <c r="D12" s="72"/>
      <c r="E12" s="78" t="str">
        <f t="shared" si="0"/>
        <v/>
      </c>
      <c r="F12" s="73"/>
      <c r="G12" s="73"/>
      <c r="H12" s="74"/>
      <c r="I12" s="75">
        <f>IFERROR(VLOOKUP(D12,'Master File - Rate Card'!$B$4:$H$163,6,0),0)</f>
        <v>0</v>
      </c>
      <c r="J12" s="75">
        <f>IFERROR(VLOOKUP(D12,'Master File - Rate Card'!$B$4:$H$163,5,0),0)</f>
        <v>0</v>
      </c>
      <c r="K12" s="76">
        <f t="shared" si="1"/>
        <v>0</v>
      </c>
      <c r="L12" s="77">
        <f t="shared" si="2"/>
        <v>0</v>
      </c>
      <c r="M12" s="77">
        <f t="shared" si="3"/>
        <v>0</v>
      </c>
      <c r="N12" s="79"/>
    </row>
    <row r="13" spans="2:15" ht="21.75" customHeight="1">
      <c r="B13" s="71">
        <v>5</v>
      </c>
      <c r="C13" s="72"/>
      <c r="D13" s="72"/>
      <c r="E13" s="78" t="str">
        <f t="shared" si="0"/>
        <v/>
      </c>
      <c r="F13" s="73"/>
      <c r="G13" s="73"/>
      <c r="H13" s="74"/>
      <c r="I13" s="75">
        <f>IFERROR(VLOOKUP(D13,'Master File - Rate Card'!$B$4:$H$163,6,0),0)</f>
        <v>0</v>
      </c>
      <c r="J13" s="75">
        <f>IFERROR(VLOOKUP(D13,'Master File - Rate Card'!$B$4:$H$163,5,0),0)</f>
        <v>0</v>
      </c>
      <c r="K13" s="76">
        <f t="shared" si="1"/>
        <v>0</v>
      </c>
      <c r="L13" s="77">
        <f t="shared" si="2"/>
        <v>0</v>
      </c>
      <c r="M13" s="77">
        <f t="shared" si="3"/>
        <v>0</v>
      </c>
      <c r="N13" s="77"/>
    </row>
    <row r="14" spans="2:15" ht="21.75" customHeight="1">
      <c r="B14" s="71">
        <v>6</v>
      </c>
      <c r="C14" s="72"/>
      <c r="D14" s="72"/>
      <c r="E14" s="78" t="str">
        <f t="shared" si="0"/>
        <v/>
      </c>
      <c r="F14" s="73"/>
      <c r="G14" s="73"/>
      <c r="H14" s="74"/>
      <c r="I14" s="75">
        <f>IFERROR(VLOOKUP(D14,'Master File - Rate Card'!$B$4:$H$163,6,0),0)</f>
        <v>0</v>
      </c>
      <c r="J14" s="75">
        <f>IFERROR(VLOOKUP(D14,'Master File - Rate Card'!$B$4:$H$163,5,0),0)</f>
        <v>0</v>
      </c>
      <c r="K14" s="76">
        <f t="shared" si="1"/>
        <v>0</v>
      </c>
      <c r="L14" s="77">
        <f t="shared" si="2"/>
        <v>0</v>
      </c>
      <c r="M14" s="77">
        <f t="shared" si="3"/>
        <v>0</v>
      </c>
      <c r="N14" s="79"/>
    </row>
    <row r="15" spans="2:15" ht="21.75" customHeight="1">
      <c r="B15" s="71">
        <v>7</v>
      </c>
      <c r="C15" s="72"/>
      <c r="D15" s="72"/>
      <c r="E15" s="78" t="str">
        <f t="shared" si="0"/>
        <v/>
      </c>
      <c r="F15" s="73"/>
      <c r="G15" s="73"/>
      <c r="H15" s="80"/>
      <c r="I15" s="75">
        <f>IFERROR(VLOOKUP(D15,'Master File - Rate Card'!$B$4:$H$163,6,0),0)</f>
        <v>0</v>
      </c>
      <c r="J15" s="75">
        <f>IFERROR(VLOOKUP(D15,'Master File - Rate Card'!$B$4:$H$163,5,0),0)</f>
        <v>0</v>
      </c>
      <c r="K15" s="76">
        <f t="shared" si="1"/>
        <v>0</v>
      </c>
      <c r="L15" s="77">
        <f t="shared" si="2"/>
        <v>0</v>
      </c>
      <c r="M15" s="77">
        <f t="shared" si="3"/>
        <v>0</v>
      </c>
      <c r="N15" s="77"/>
    </row>
    <row r="16" spans="2:15" ht="21.75" customHeight="1">
      <c r="B16" s="71">
        <v>8</v>
      </c>
      <c r="C16" s="72"/>
      <c r="D16" s="72"/>
      <c r="E16" s="78" t="str">
        <f t="shared" si="0"/>
        <v/>
      </c>
      <c r="F16" s="73"/>
      <c r="G16" s="73"/>
      <c r="H16" s="74"/>
      <c r="I16" s="75">
        <f>IFERROR(VLOOKUP(D16,'Master File - Rate Card'!$B$4:$H$163,6,0),0)</f>
        <v>0</v>
      </c>
      <c r="J16" s="75">
        <f>IFERROR(VLOOKUP(D16,'Master File - Rate Card'!$B$4:$H$163,5,0),0)</f>
        <v>0</v>
      </c>
      <c r="K16" s="76">
        <f t="shared" si="1"/>
        <v>0</v>
      </c>
      <c r="L16" s="77">
        <f t="shared" si="2"/>
        <v>0</v>
      </c>
      <c r="M16" s="77">
        <f t="shared" si="3"/>
        <v>0</v>
      </c>
      <c r="N16" s="79"/>
    </row>
    <row r="17" spans="2:14" ht="21.75" customHeight="1">
      <c r="B17" s="71">
        <v>9</v>
      </c>
      <c r="C17" s="72"/>
      <c r="D17" s="72"/>
      <c r="E17" s="78" t="str">
        <f t="shared" si="0"/>
        <v/>
      </c>
      <c r="F17" s="73"/>
      <c r="G17" s="73"/>
      <c r="H17" s="74"/>
      <c r="I17" s="75">
        <f>IFERROR(VLOOKUP(D17,'Master File - Rate Card'!$B$4:$H$163,6,0),0)</f>
        <v>0</v>
      </c>
      <c r="J17" s="75">
        <f>IFERROR(VLOOKUP(D17,'Master File - Rate Card'!$B$4:$H$163,5,0),0)</f>
        <v>0</v>
      </c>
      <c r="K17" s="76">
        <f t="shared" si="1"/>
        <v>0</v>
      </c>
      <c r="L17" s="77">
        <f t="shared" si="2"/>
        <v>0</v>
      </c>
      <c r="M17" s="77">
        <f t="shared" si="3"/>
        <v>0</v>
      </c>
      <c r="N17" s="77"/>
    </row>
    <row r="18" spans="2:14" ht="21.75" customHeight="1">
      <c r="B18" s="71">
        <v>10</v>
      </c>
      <c r="C18" s="72"/>
      <c r="D18" s="72"/>
      <c r="E18" s="78" t="str">
        <f t="shared" si="0"/>
        <v/>
      </c>
      <c r="F18" s="73"/>
      <c r="G18" s="73"/>
      <c r="H18" s="74"/>
      <c r="I18" s="75">
        <f>IFERROR(VLOOKUP(D18,'Master File - Rate Card'!$B$4:$H$163,6,0),0)</f>
        <v>0</v>
      </c>
      <c r="J18" s="75">
        <f>IFERROR(VLOOKUP(D18,'Master File - Rate Card'!$B$4:$H$163,5,0),0)</f>
        <v>0</v>
      </c>
      <c r="K18" s="76">
        <f t="shared" si="1"/>
        <v>0</v>
      </c>
      <c r="L18" s="77">
        <f t="shared" si="2"/>
        <v>0</v>
      </c>
      <c r="M18" s="77">
        <f t="shared" si="3"/>
        <v>0</v>
      </c>
      <c r="N18" s="79"/>
    </row>
    <row r="19" spans="2:14" ht="21.75" customHeight="1">
      <c r="B19" s="71">
        <v>11</v>
      </c>
      <c r="C19" s="72"/>
      <c r="D19" s="72"/>
      <c r="E19" s="78" t="str">
        <f t="shared" si="0"/>
        <v/>
      </c>
      <c r="F19" s="73"/>
      <c r="G19" s="73"/>
      <c r="H19" s="74"/>
      <c r="I19" s="75">
        <f>IFERROR(VLOOKUP(D19,'Master File - Rate Card'!$B$4:$H$163,6,0),0)</f>
        <v>0</v>
      </c>
      <c r="J19" s="75">
        <f>IFERROR(VLOOKUP(D19,'Master File - Rate Card'!$B$4:$H$163,5,0),0)</f>
        <v>0</v>
      </c>
      <c r="K19" s="76">
        <f t="shared" si="1"/>
        <v>0</v>
      </c>
      <c r="L19" s="77">
        <f t="shared" si="2"/>
        <v>0</v>
      </c>
      <c r="M19" s="77">
        <f t="shared" si="3"/>
        <v>0</v>
      </c>
      <c r="N19" s="77"/>
    </row>
    <row r="20" spans="2:14" ht="21.75" customHeight="1">
      <c r="B20" s="71">
        <v>12</v>
      </c>
      <c r="C20" s="72"/>
      <c r="D20" s="72"/>
      <c r="E20" s="78" t="str">
        <f t="shared" si="0"/>
        <v/>
      </c>
      <c r="F20" s="73"/>
      <c r="G20" s="73"/>
      <c r="H20" s="74"/>
      <c r="I20" s="75">
        <f>IFERROR(VLOOKUP(D20,'Master File - Rate Card'!$B$4:$H$163,6,0),0)</f>
        <v>0</v>
      </c>
      <c r="J20" s="75">
        <f>IFERROR(VLOOKUP(D20,'Master File - Rate Card'!$B$4:$H$163,5,0),0)</f>
        <v>0</v>
      </c>
      <c r="K20" s="76">
        <f t="shared" si="1"/>
        <v>0</v>
      </c>
      <c r="L20" s="77">
        <f t="shared" si="2"/>
        <v>0</v>
      </c>
      <c r="M20" s="77">
        <f t="shared" si="3"/>
        <v>0</v>
      </c>
      <c r="N20" s="79"/>
    </row>
    <row r="21" spans="2:14" ht="21.75" customHeight="1">
      <c r="B21" s="71">
        <v>13</v>
      </c>
      <c r="C21" s="72"/>
      <c r="D21" s="72"/>
      <c r="E21" s="78" t="str">
        <f t="shared" si="0"/>
        <v/>
      </c>
      <c r="F21" s="73"/>
      <c r="G21" s="73"/>
      <c r="H21" s="74"/>
      <c r="I21" s="75">
        <f>IFERROR(VLOOKUP(D21,'Master File - Rate Card'!$B$4:$H$163,6,0),0)</f>
        <v>0</v>
      </c>
      <c r="J21" s="75">
        <f>IFERROR(VLOOKUP(D21,'Master File - Rate Card'!$B$4:$H$163,5,0),0)</f>
        <v>0</v>
      </c>
      <c r="K21" s="76">
        <f t="shared" si="1"/>
        <v>0</v>
      </c>
      <c r="L21" s="77">
        <f t="shared" si="2"/>
        <v>0</v>
      </c>
      <c r="M21" s="77">
        <f t="shared" si="3"/>
        <v>0</v>
      </c>
      <c r="N21" s="77"/>
    </row>
    <row r="22" spans="2:14" ht="21.75" customHeight="1">
      <c r="B22" s="71">
        <v>14</v>
      </c>
      <c r="C22" s="72"/>
      <c r="D22" s="72"/>
      <c r="E22" s="78" t="str">
        <f t="shared" si="0"/>
        <v/>
      </c>
      <c r="F22" s="73"/>
      <c r="G22" s="73"/>
      <c r="H22" s="74"/>
      <c r="I22" s="75">
        <f>IFERROR(VLOOKUP(D22,'Master File - Rate Card'!$B$4:$H$163,6,0),0)</f>
        <v>0</v>
      </c>
      <c r="J22" s="75">
        <f>IFERROR(VLOOKUP(D22,'Master File - Rate Card'!$B$4:$H$163,5,0),0)</f>
        <v>0</v>
      </c>
      <c r="K22" s="76">
        <f t="shared" si="1"/>
        <v>0</v>
      </c>
      <c r="L22" s="77">
        <f t="shared" si="2"/>
        <v>0</v>
      </c>
      <c r="M22" s="77">
        <f t="shared" si="3"/>
        <v>0</v>
      </c>
      <c r="N22" s="79"/>
    </row>
    <row r="23" spans="2:14" ht="21.75" customHeight="1">
      <c r="B23" s="71">
        <v>15</v>
      </c>
      <c r="C23" s="72"/>
      <c r="D23" s="72"/>
      <c r="E23" s="78" t="str">
        <f t="shared" si="0"/>
        <v/>
      </c>
      <c r="F23" s="73"/>
      <c r="G23" s="73"/>
      <c r="H23" s="74"/>
      <c r="I23" s="75">
        <f>IFERROR(VLOOKUP(D23,'Master File - Rate Card'!$B$4:$H$163,6,0),0)</f>
        <v>0</v>
      </c>
      <c r="J23" s="75">
        <f>IFERROR(VLOOKUP(D23,'Master File - Rate Card'!$B$4:$H$163,5,0),0)</f>
        <v>0</v>
      </c>
      <c r="K23" s="76">
        <f t="shared" si="1"/>
        <v>0</v>
      </c>
      <c r="L23" s="77">
        <f t="shared" si="2"/>
        <v>0</v>
      </c>
      <c r="M23" s="77">
        <f t="shared" si="3"/>
        <v>0</v>
      </c>
      <c r="N23" s="77"/>
    </row>
    <row r="24" spans="2:14" ht="21.75" customHeight="1">
      <c r="B24" s="71">
        <v>16</v>
      </c>
      <c r="C24" s="72"/>
      <c r="D24" s="72"/>
      <c r="E24" s="78" t="str">
        <f t="shared" si="0"/>
        <v/>
      </c>
      <c r="F24" s="73"/>
      <c r="G24" s="73"/>
      <c r="H24" s="74"/>
      <c r="I24" s="75">
        <f>IFERROR(VLOOKUP(D24,'Master File - Rate Card'!$B$4:$H$163,6,0),0)</f>
        <v>0</v>
      </c>
      <c r="J24" s="75">
        <f>IFERROR(VLOOKUP(D24,'Master File - Rate Card'!$B$4:$H$163,5,0),0)</f>
        <v>0</v>
      </c>
      <c r="K24" s="76">
        <f t="shared" si="1"/>
        <v>0</v>
      </c>
      <c r="L24" s="77">
        <f t="shared" si="2"/>
        <v>0</v>
      </c>
      <c r="M24" s="77">
        <f t="shared" si="3"/>
        <v>0</v>
      </c>
      <c r="N24" s="79"/>
    </row>
    <row r="25" spans="2:14" ht="21.75" customHeight="1">
      <c r="B25" s="71">
        <v>17</v>
      </c>
      <c r="C25" s="72"/>
      <c r="D25" s="72"/>
      <c r="E25" s="78" t="str">
        <f t="shared" si="0"/>
        <v/>
      </c>
      <c r="F25" s="73"/>
      <c r="G25" s="73"/>
      <c r="H25" s="74"/>
      <c r="I25" s="75">
        <f>IFERROR(VLOOKUP(D25,'Master File - Rate Card'!$B$4:$H$163,6,0),0)</f>
        <v>0</v>
      </c>
      <c r="J25" s="75">
        <f>IFERROR(VLOOKUP(D25,'Master File - Rate Card'!$B$4:$H$163,5,0),0)</f>
        <v>0</v>
      </c>
      <c r="K25" s="76">
        <f t="shared" si="1"/>
        <v>0</v>
      </c>
      <c r="L25" s="77">
        <f t="shared" si="2"/>
        <v>0</v>
      </c>
      <c r="M25" s="77">
        <f t="shared" si="3"/>
        <v>0</v>
      </c>
      <c r="N25" s="77"/>
    </row>
    <row r="26" spans="2:14" ht="21.75" customHeight="1">
      <c r="B26" s="71">
        <v>18</v>
      </c>
      <c r="C26" s="72"/>
      <c r="D26" s="72"/>
      <c r="E26" s="78" t="str">
        <f t="shared" si="0"/>
        <v/>
      </c>
      <c r="F26" s="73"/>
      <c r="G26" s="73"/>
      <c r="H26" s="74"/>
      <c r="I26" s="75">
        <f>IFERROR(VLOOKUP(D26,'Master File - Rate Card'!$B$4:$H$163,6,0),0)</f>
        <v>0</v>
      </c>
      <c r="J26" s="75">
        <f>IFERROR(VLOOKUP(D26,'Master File - Rate Card'!$B$4:$H$163,5,0),0)</f>
        <v>0</v>
      </c>
      <c r="K26" s="76">
        <f t="shared" si="1"/>
        <v>0</v>
      </c>
      <c r="L26" s="77">
        <f t="shared" si="2"/>
        <v>0</v>
      </c>
      <c r="M26" s="77">
        <f t="shared" si="3"/>
        <v>0</v>
      </c>
      <c r="N26" s="79"/>
    </row>
    <row r="27" spans="2:14" ht="21.75" customHeight="1">
      <c r="B27" s="71">
        <v>19</v>
      </c>
      <c r="C27" s="72"/>
      <c r="D27" s="72"/>
      <c r="E27" s="78" t="str">
        <f t="shared" si="0"/>
        <v/>
      </c>
      <c r="F27" s="73"/>
      <c r="G27" s="73"/>
      <c r="H27" s="74"/>
      <c r="I27" s="75">
        <f>IFERROR(VLOOKUP(D27,'Master File - Rate Card'!$B$4:$H$163,6,0),0)</f>
        <v>0</v>
      </c>
      <c r="J27" s="75">
        <f>IFERROR(VLOOKUP(D27,'Master File - Rate Card'!$B$4:$H$163,5,0),0)</f>
        <v>0</v>
      </c>
      <c r="K27" s="76">
        <f t="shared" si="1"/>
        <v>0</v>
      </c>
      <c r="L27" s="77">
        <f t="shared" si="2"/>
        <v>0</v>
      </c>
      <c r="M27" s="77">
        <f t="shared" si="3"/>
        <v>0</v>
      </c>
      <c r="N27" s="77"/>
    </row>
    <row r="28" spans="2:14" ht="21.75" customHeight="1">
      <c r="B28" s="71">
        <v>20</v>
      </c>
      <c r="C28" s="72"/>
      <c r="D28" s="72"/>
      <c r="E28" s="78" t="str">
        <f t="shared" si="0"/>
        <v/>
      </c>
      <c r="F28" s="73"/>
      <c r="G28" s="73"/>
      <c r="H28" s="74"/>
      <c r="I28" s="75">
        <f>IFERROR(VLOOKUP(D28,'Master File - Rate Card'!$B$4:$H$163,6,0),0)</f>
        <v>0</v>
      </c>
      <c r="J28" s="75">
        <f>IFERROR(VLOOKUP(D28,'Master File - Rate Card'!$B$4:$H$163,5,0),0)</f>
        <v>0</v>
      </c>
      <c r="K28" s="76">
        <f t="shared" si="1"/>
        <v>0</v>
      </c>
      <c r="L28" s="77">
        <f t="shared" si="2"/>
        <v>0</v>
      </c>
      <c r="M28" s="77">
        <f t="shared" si="3"/>
        <v>0</v>
      </c>
      <c r="N28" s="79"/>
    </row>
    <row r="29" spans="2:14" ht="27.75" customHeight="1">
      <c r="B29" s="178" t="s">
        <v>103</v>
      </c>
      <c r="C29" s="178"/>
      <c r="D29" s="178"/>
      <c r="E29" s="178"/>
      <c r="F29" s="178"/>
      <c r="G29" s="81"/>
      <c r="H29" s="81"/>
      <c r="I29" s="81"/>
      <c r="L29" s="77">
        <f>SUM(L9:L28)</f>
        <v>3386.875</v>
      </c>
      <c r="M29" s="77">
        <f>SUM(M9:M28)</f>
        <v>6773.75</v>
      </c>
      <c r="N29" s="82"/>
    </row>
    <row r="31" spans="2:14" ht="24" customHeight="1">
      <c r="C31" s="13"/>
      <c r="D31" s="13"/>
      <c r="E31" s="13" t="s">
        <v>104</v>
      </c>
      <c r="F31" s="83">
        <f>SUM(F9:F28)</f>
        <v>1</v>
      </c>
      <c r="N31" s="84"/>
    </row>
    <row r="32" spans="2:14" ht="24" customHeight="1">
      <c r="E32" s="179" t="str">
        <f>COUNTA(_xlfn.UNIQUE(D9:D28))&amp;" roles configured | Margin: "&amp;TEXT($E$5,"0.0%")&amp;" | Hours/Month: "&amp;$O$4</f>
        <v>2 roles configured | Margin: 50.0% | Hours/Month: 160</v>
      </c>
      <c r="F32" s="179"/>
      <c r="G32" s="179"/>
      <c r="H32" s="179"/>
      <c r="I32" s="179"/>
      <c r="J32" s="179"/>
      <c r="K32" s="84"/>
    </row>
    <row r="33" spans="2:15" ht="18" customHeight="1">
      <c r="B33" s="180" t="s">
        <v>105</v>
      </c>
      <c r="C33" s="180"/>
      <c r="D33" s="180"/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</row>
    <row r="34" spans="2:15" ht="15.75" customHeight="1">
      <c r="B34" s="181" t="s">
        <v>106</v>
      </c>
      <c r="C34" s="181"/>
      <c r="D34" s="181"/>
      <c r="E34" s="181"/>
      <c r="F34" s="182" t="s">
        <v>107</v>
      </c>
      <c r="G34" s="182"/>
      <c r="H34" s="182"/>
      <c r="I34" s="182"/>
      <c r="J34" s="183" t="s">
        <v>108</v>
      </c>
      <c r="K34" s="183"/>
      <c r="L34" s="183"/>
      <c r="M34" s="183"/>
      <c r="N34" s="183"/>
      <c r="O34" s="183"/>
    </row>
  </sheetData>
  <mergeCells count="12">
    <mergeCell ref="B6:D6"/>
    <mergeCell ref="B29:F29"/>
    <mergeCell ref="E32:J32"/>
    <mergeCell ref="B33:O33"/>
    <mergeCell ref="B34:E34"/>
    <mergeCell ref="F34:I34"/>
    <mergeCell ref="J34:O34"/>
    <mergeCell ref="B2:O2"/>
    <mergeCell ref="B4:D4"/>
    <mergeCell ref="E4:I4"/>
    <mergeCell ref="B5:D5"/>
    <mergeCell ref="F5:I5"/>
  </mergeCells>
  <dataValidations count="4">
    <dataValidation type="whole" operator="greaterThan" allowBlank="1" sqref="F9:F28" xr:uid="{00000000-0002-0000-0300-000000000000}">
      <formula1>0</formula1>
      <formula2>0</formula2>
    </dataValidation>
    <dataValidation type="decimal" allowBlank="1" showErrorMessage="1" errorTitle="Invalid Billability" error="Enter a value between 0 and 1 (e.g. 0.8 for 80%)" sqref="H9:H28" xr:uid="{00000000-0002-0000-0300-000001000000}">
      <formula1>0</formula1>
      <formula2>1</formula2>
    </dataValidation>
    <dataValidation type="list" allowBlank="1" sqref="D9:D28" xr:uid="{00000000-0002-0000-0300-000002000000}">
      <formula1>INDIRECT(SUBSTITUTE(SUBSTITUTE(SUBSTITUTE(C9,"&amp;","_")," ","_"),"-","_"))</formula1>
      <formula2>0</formula2>
    </dataValidation>
    <dataValidation type="list" allowBlank="1" showErrorMessage="1" errorTitle="Invalid Category" error="Please select a category from the list" sqref="C9:C28" xr:uid="{00000000-0002-0000-0300-000003000000}">
      <formula1>CategoryList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V34"/>
  <sheetViews>
    <sheetView showGridLines="0" zoomScale="70" zoomScaleNormal="70" workbookViewId="0">
      <pane xSplit="2" ySplit="8" topLeftCell="C9" activePane="bottomRight" state="frozen"/>
      <selection pane="bottomRight" activeCell="G15" sqref="G15"/>
      <selection pane="bottomLeft" activeCell="A9" sqref="A9"/>
      <selection pane="topRight" activeCell="C1" sqref="C1"/>
    </sheetView>
  </sheetViews>
  <sheetFormatPr defaultColWidth="8.5703125" defaultRowHeight="14.45"/>
  <cols>
    <col min="1" max="1" width="1.5703125" customWidth="1"/>
    <col min="2" max="2" width="3" customWidth="1"/>
    <col min="3" max="3" width="23.28515625" customWidth="1"/>
    <col min="4" max="4" width="38.28515625" customWidth="1"/>
    <col min="5" max="5" width="14" customWidth="1"/>
    <col min="6" max="6" width="13" customWidth="1"/>
    <col min="7" max="8" width="10" customWidth="1"/>
    <col min="9" max="9" width="7" customWidth="1"/>
    <col min="10" max="12" width="11" customWidth="1"/>
    <col min="13" max="14" width="12" customWidth="1"/>
    <col min="15" max="15" width="15" customWidth="1"/>
  </cols>
  <sheetData>
    <row r="1" spans="2:22" ht="8.25" customHeight="1"/>
    <row r="2" spans="2:22" ht="25.5" customHeight="1">
      <c r="B2" s="174" t="s">
        <v>109</v>
      </c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</row>
    <row r="3" spans="2:22" ht="7.5" customHeight="1"/>
    <row r="4" spans="2:22" ht="20.25" customHeight="1">
      <c r="B4" s="175" t="s">
        <v>33</v>
      </c>
      <c r="C4" s="175"/>
      <c r="D4" s="175"/>
      <c r="E4" s="176" t="str">
        <f>Margin_Summary!C3</f>
        <v xml:space="preserve">Abc </v>
      </c>
      <c r="F4" s="176"/>
      <c r="G4" s="176"/>
      <c r="H4" s="176"/>
      <c r="I4" s="176"/>
      <c r="J4" s="175"/>
      <c r="K4" s="175"/>
      <c r="L4" s="175"/>
      <c r="M4" s="175"/>
      <c r="N4" s="2" t="s">
        <v>84</v>
      </c>
      <c r="O4" s="67">
        <v>160</v>
      </c>
    </row>
    <row r="5" spans="2:22" ht="20.25" customHeight="1">
      <c r="B5" s="175" t="s">
        <v>110</v>
      </c>
      <c r="C5" s="175"/>
      <c r="D5" s="175"/>
      <c r="E5" s="68">
        <v>0.5</v>
      </c>
      <c r="F5" s="85"/>
      <c r="G5" s="86"/>
      <c r="H5" s="86"/>
      <c r="I5" s="86"/>
    </row>
    <row r="6" spans="2:22" ht="20.25" customHeight="1">
      <c r="B6" s="175" t="s">
        <v>111</v>
      </c>
      <c r="C6" s="175"/>
      <c r="D6" s="175"/>
      <c r="E6" s="69">
        <f>IFERROR(IF(Margin_Summary!C4="","",E5*INDEX('Vertical-Based GM Calculation'!$N$2:$N$8,MATCH(Margin_Summary!C4,'Vertical-Based GM Calculation'!$A$2:$A$8,0))),"N/A")</f>
        <v>0.39840695148443156</v>
      </c>
      <c r="F6" s="1" t="s">
        <v>87</v>
      </c>
      <c r="G6" s="86"/>
      <c r="H6" s="86"/>
      <c r="I6" s="86"/>
    </row>
    <row r="7" spans="2:22" ht="6" customHeight="1"/>
    <row r="8" spans="2:22" ht="39.75" customHeight="1">
      <c r="B8" s="70" t="s">
        <v>88</v>
      </c>
      <c r="C8" s="70" t="s">
        <v>89</v>
      </c>
      <c r="D8" s="70" t="s">
        <v>90</v>
      </c>
      <c r="E8" s="70" t="s">
        <v>91</v>
      </c>
      <c r="F8" s="70" t="s">
        <v>92</v>
      </c>
      <c r="G8" s="70" t="s">
        <v>93</v>
      </c>
      <c r="H8" s="70" t="s">
        <v>94</v>
      </c>
      <c r="I8" s="70" t="s">
        <v>112</v>
      </c>
      <c r="J8" s="70" t="s">
        <v>96</v>
      </c>
      <c r="K8" s="70" t="s">
        <v>97</v>
      </c>
      <c r="L8" s="70" t="s">
        <v>98</v>
      </c>
      <c r="M8" s="70" t="s">
        <v>99</v>
      </c>
      <c r="N8" s="70" t="s">
        <v>100</v>
      </c>
    </row>
    <row r="9" spans="2:22" ht="21.75" customHeight="1">
      <c r="B9" s="71">
        <v>1</v>
      </c>
      <c r="C9" s="72" t="s">
        <v>101</v>
      </c>
      <c r="D9" s="72" t="s">
        <v>102</v>
      </c>
      <c r="E9" s="78" t="str">
        <f t="shared" ref="E9:E28" si="0">IF(D9="","",TRIM(MID(D9,FIND("|",D9)+1,100)))</f>
        <v>2-3 Years</v>
      </c>
      <c r="F9" s="73">
        <v>1</v>
      </c>
      <c r="G9" s="73">
        <v>1</v>
      </c>
      <c r="H9" s="74">
        <v>1</v>
      </c>
      <c r="I9" s="87">
        <f>IFERROR(VLOOKUP(D9,'Master File - Rate Card'!$B$4:$K$163,10,0),0)</f>
        <v>7.2804659498207887</v>
      </c>
      <c r="J9" s="87">
        <f ca="1">IFERROR(VLOOKUP(D9,'Master File - Rate Card'!$B$4:$K$163,9,0),0)</f>
        <v>13589.797198411039</v>
      </c>
      <c r="K9" s="88">
        <f>IFERROR(I9/(1-$E$5), 0)</f>
        <v>14.560931899641577</v>
      </c>
      <c r="L9" s="89">
        <f t="shared" ref="L9:L28" si="1">F9*G9*$O$4*H9*I9</f>
        <v>1164.8745519713261</v>
      </c>
      <c r="M9" s="89">
        <f t="shared" ref="M9:M28" si="2">L9/(1-$E$5)</f>
        <v>2329.7491039426523</v>
      </c>
      <c r="N9" s="77"/>
      <c r="S9" s="2"/>
      <c r="T9" s="2"/>
      <c r="U9" s="2"/>
      <c r="V9" s="2"/>
    </row>
    <row r="10" spans="2:22" ht="21.75" customHeight="1">
      <c r="B10" s="71">
        <v>2</v>
      </c>
      <c r="C10" s="72"/>
      <c r="D10" s="72"/>
      <c r="E10" s="78" t="str">
        <f t="shared" si="0"/>
        <v/>
      </c>
      <c r="F10" s="73"/>
      <c r="G10" s="73"/>
      <c r="H10" s="74"/>
      <c r="I10" s="87">
        <f>IFERROR(VLOOKUP(D10,'Master File - Rate Card'!$B$4:$K$163,10,0),0)</f>
        <v>0</v>
      </c>
      <c r="J10" s="87">
        <f>IFERROR(VLOOKUP(D10,'Master File - Rate Card'!$B$4:$K$163,9,0),0)</f>
        <v>0</v>
      </c>
      <c r="K10" s="88">
        <f t="shared" ref="K10:K28" si="3">IFERROR(I10/(1-$E$5), 0)</f>
        <v>0</v>
      </c>
      <c r="L10" s="89">
        <f t="shared" si="1"/>
        <v>0</v>
      </c>
      <c r="M10" s="89">
        <f t="shared" si="2"/>
        <v>0</v>
      </c>
      <c r="N10" s="79"/>
    </row>
    <row r="11" spans="2:22" ht="21.75" customHeight="1">
      <c r="B11" s="71">
        <v>3</v>
      </c>
      <c r="C11" s="72"/>
      <c r="D11" s="72"/>
      <c r="E11" s="78" t="str">
        <f t="shared" si="0"/>
        <v/>
      </c>
      <c r="F11" s="73"/>
      <c r="G11" s="73"/>
      <c r="H11" s="74"/>
      <c r="I11" s="87">
        <f>IFERROR(VLOOKUP(D11,'Master File - Rate Card'!$B$4:$K$163,10,0),0)</f>
        <v>0</v>
      </c>
      <c r="J11" s="87">
        <f>IFERROR(VLOOKUP(D11,'Master File - Rate Card'!$B$4:$K$163,9,0),0)</f>
        <v>0</v>
      </c>
      <c r="K11" s="88">
        <f t="shared" si="3"/>
        <v>0</v>
      </c>
      <c r="L11" s="89">
        <f t="shared" si="1"/>
        <v>0</v>
      </c>
      <c r="M11" s="89">
        <f t="shared" si="2"/>
        <v>0</v>
      </c>
      <c r="N11" s="77"/>
    </row>
    <row r="12" spans="2:22" ht="21.75" customHeight="1">
      <c r="B12" s="71">
        <v>4</v>
      </c>
      <c r="C12" s="72"/>
      <c r="D12" s="72"/>
      <c r="E12" s="78" t="str">
        <f t="shared" si="0"/>
        <v/>
      </c>
      <c r="F12" s="73"/>
      <c r="G12" s="90"/>
      <c r="H12" s="80"/>
      <c r="I12" s="87">
        <f>IFERROR(VLOOKUP(D12,'Master File - Rate Card'!$B$4:$K$163,10,0),0)</f>
        <v>0</v>
      </c>
      <c r="J12" s="87">
        <f>IFERROR(VLOOKUP(D12,'Master File - Rate Card'!$B$4:$K$163,9,0),0)</f>
        <v>0</v>
      </c>
      <c r="K12" s="88">
        <f t="shared" si="3"/>
        <v>0</v>
      </c>
      <c r="L12" s="89">
        <f t="shared" si="1"/>
        <v>0</v>
      </c>
      <c r="M12" s="89">
        <f t="shared" si="2"/>
        <v>0</v>
      </c>
      <c r="N12" s="79"/>
    </row>
    <row r="13" spans="2:22" ht="21.75" customHeight="1">
      <c r="B13" s="71">
        <v>5</v>
      </c>
      <c r="C13" s="72"/>
      <c r="D13" s="72"/>
      <c r="E13" s="78" t="str">
        <f t="shared" si="0"/>
        <v/>
      </c>
      <c r="F13" s="73"/>
      <c r="G13" s="90"/>
      <c r="H13" s="80"/>
      <c r="I13" s="87">
        <f>IFERROR(VLOOKUP(D13,'Master File - Rate Card'!$B$4:$K$163,10,0),0)</f>
        <v>0</v>
      </c>
      <c r="J13" s="87">
        <f>IFERROR(VLOOKUP(D13,'Master File - Rate Card'!$B$4:$K$163,9,0),0)</f>
        <v>0</v>
      </c>
      <c r="K13" s="88">
        <f t="shared" si="3"/>
        <v>0</v>
      </c>
      <c r="L13" s="89">
        <f t="shared" si="1"/>
        <v>0</v>
      </c>
      <c r="M13" s="89">
        <f t="shared" si="2"/>
        <v>0</v>
      </c>
      <c r="N13" s="77"/>
    </row>
    <row r="14" spans="2:22" ht="21.75" customHeight="1">
      <c r="B14" s="71">
        <v>6</v>
      </c>
      <c r="C14" s="72"/>
      <c r="D14" s="72"/>
      <c r="E14" s="78" t="str">
        <f t="shared" si="0"/>
        <v/>
      </c>
      <c r="F14" s="73"/>
      <c r="G14" s="73"/>
      <c r="H14" s="74"/>
      <c r="I14" s="87">
        <f>IFERROR(VLOOKUP(D14,'Master File - Rate Card'!$B$4:$K$163,10,0),0)</f>
        <v>0</v>
      </c>
      <c r="J14" s="87">
        <f>IFERROR(VLOOKUP(D14,'Master File - Rate Card'!$B$4:$K$163,9,0),0)</f>
        <v>0</v>
      </c>
      <c r="K14" s="88">
        <f t="shared" si="3"/>
        <v>0</v>
      </c>
      <c r="L14" s="89">
        <f t="shared" si="1"/>
        <v>0</v>
      </c>
      <c r="M14" s="89">
        <f t="shared" si="2"/>
        <v>0</v>
      </c>
      <c r="N14" s="79"/>
    </row>
    <row r="15" spans="2:22" ht="21.75" customHeight="1">
      <c r="B15" s="71">
        <v>7</v>
      </c>
      <c r="C15" s="72"/>
      <c r="D15" s="72"/>
      <c r="E15" s="78" t="str">
        <f t="shared" si="0"/>
        <v/>
      </c>
      <c r="F15" s="73"/>
      <c r="G15" s="73"/>
      <c r="H15" s="74"/>
      <c r="I15" s="87">
        <f>IFERROR(VLOOKUP(D15,'Master File - Rate Card'!$B$4:$K$163,10,0),0)</f>
        <v>0</v>
      </c>
      <c r="J15" s="87">
        <f>IFERROR(VLOOKUP(D15,'Master File - Rate Card'!$B$4:$K$163,9,0),0)</f>
        <v>0</v>
      </c>
      <c r="K15" s="88">
        <f t="shared" si="3"/>
        <v>0</v>
      </c>
      <c r="L15" s="89">
        <f t="shared" si="1"/>
        <v>0</v>
      </c>
      <c r="M15" s="89">
        <f t="shared" si="2"/>
        <v>0</v>
      </c>
      <c r="N15" s="77"/>
    </row>
    <row r="16" spans="2:22" ht="21.75" customHeight="1">
      <c r="B16" s="71">
        <v>8</v>
      </c>
      <c r="C16" s="72"/>
      <c r="D16" s="72"/>
      <c r="E16" s="78" t="str">
        <f t="shared" si="0"/>
        <v/>
      </c>
      <c r="F16" s="73"/>
      <c r="G16" s="73"/>
      <c r="H16" s="74"/>
      <c r="I16" s="87">
        <f>IFERROR(VLOOKUP(D16,'Master File - Rate Card'!$B$4:$K$163,10,0),0)</f>
        <v>0</v>
      </c>
      <c r="J16" s="87">
        <f>IFERROR(VLOOKUP(D16,'Master File - Rate Card'!$B$4:$K$163,9,0),0)</f>
        <v>0</v>
      </c>
      <c r="K16" s="88">
        <f t="shared" si="3"/>
        <v>0</v>
      </c>
      <c r="L16" s="89">
        <f t="shared" si="1"/>
        <v>0</v>
      </c>
      <c r="M16" s="89">
        <f t="shared" si="2"/>
        <v>0</v>
      </c>
      <c r="N16" s="79"/>
    </row>
    <row r="17" spans="2:14" ht="21.75" customHeight="1">
      <c r="B17" s="71">
        <v>9</v>
      </c>
      <c r="C17" s="72"/>
      <c r="D17" s="72"/>
      <c r="E17" s="78" t="str">
        <f t="shared" si="0"/>
        <v/>
      </c>
      <c r="F17" s="73"/>
      <c r="G17" s="73"/>
      <c r="H17" s="74"/>
      <c r="I17" s="87">
        <f>IFERROR(VLOOKUP(D17,'Master File - Rate Card'!$B$4:$K$163,10,0),0)</f>
        <v>0</v>
      </c>
      <c r="J17" s="87">
        <f>IFERROR(VLOOKUP(D17,'Master File - Rate Card'!$B$4:$K$163,9,0),0)</f>
        <v>0</v>
      </c>
      <c r="K17" s="88">
        <f t="shared" si="3"/>
        <v>0</v>
      </c>
      <c r="L17" s="89">
        <f t="shared" si="1"/>
        <v>0</v>
      </c>
      <c r="M17" s="89">
        <f t="shared" si="2"/>
        <v>0</v>
      </c>
      <c r="N17" s="77"/>
    </row>
    <row r="18" spans="2:14" ht="21.75" customHeight="1">
      <c r="B18" s="71">
        <v>10</v>
      </c>
      <c r="C18" s="72"/>
      <c r="D18" s="72"/>
      <c r="E18" s="78" t="str">
        <f t="shared" si="0"/>
        <v/>
      </c>
      <c r="F18" s="73"/>
      <c r="G18" s="73"/>
      <c r="H18" s="74"/>
      <c r="I18" s="87">
        <f>IFERROR(VLOOKUP(D18,'Master File - Rate Card'!$B$4:$K$163,10,0),0)</f>
        <v>0</v>
      </c>
      <c r="J18" s="87">
        <f>IFERROR(VLOOKUP(D18,'Master File - Rate Card'!$B$4:$K$163,9,0),0)</f>
        <v>0</v>
      </c>
      <c r="K18" s="88">
        <f t="shared" si="3"/>
        <v>0</v>
      </c>
      <c r="L18" s="89">
        <f t="shared" si="1"/>
        <v>0</v>
      </c>
      <c r="M18" s="89">
        <f t="shared" si="2"/>
        <v>0</v>
      </c>
      <c r="N18" s="79"/>
    </row>
    <row r="19" spans="2:14" ht="21.75" customHeight="1">
      <c r="B19" s="71">
        <v>11</v>
      </c>
      <c r="C19" s="72"/>
      <c r="D19" s="72"/>
      <c r="E19" s="78" t="str">
        <f t="shared" si="0"/>
        <v/>
      </c>
      <c r="F19" s="73"/>
      <c r="G19" s="73"/>
      <c r="H19" s="74"/>
      <c r="I19" s="87">
        <f>IFERROR(VLOOKUP(D19,'Master File - Rate Card'!$B$4:$K$163,10,0),0)</f>
        <v>0</v>
      </c>
      <c r="J19" s="87">
        <f>IFERROR(VLOOKUP(D19,'Master File - Rate Card'!$B$4:$K$163,9,0),0)</f>
        <v>0</v>
      </c>
      <c r="K19" s="88">
        <f t="shared" si="3"/>
        <v>0</v>
      </c>
      <c r="L19" s="89">
        <f t="shared" si="1"/>
        <v>0</v>
      </c>
      <c r="M19" s="89">
        <f t="shared" si="2"/>
        <v>0</v>
      </c>
      <c r="N19" s="77"/>
    </row>
    <row r="20" spans="2:14" ht="21.75" customHeight="1">
      <c r="B20" s="71">
        <v>12</v>
      </c>
      <c r="C20" s="72"/>
      <c r="D20" s="72"/>
      <c r="E20" s="78" t="str">
        <f t="shared" si="0"/>
        <v/>
      </c>
      <c r="F20" s="73"/>
      <c r="G20" s="73"/>
      <c r="H20" s="74"/>
      <c r="I20" s="87">
        <f>IFERROR(VLOOKUP(D20,'Master File - Rate Card'!$B$4:$K$163,10,0),0)</f>
        <v>0</v>
      </c>
      <c r="J20" s="87">
        <f>IFERROR(VLOOKUP(D20,'Master File - Rate Card'!$B$4:$K$163,9,0),0)</f>
        <v>0</v>
      </c>
      <c r="K20" s="88">
        <f t="shared" si="3"/>
        <v>0</v>
      </c>
      <c r="L20" s="89">
        <f t="shared" si="1"/>
        <v>0</v>
      </c>
      <c r="M20" s="89">
        <f t="shared" si="2"/>
        <v>0</v>
      </c>
      <c r="N20" s="79"/>
    </row>
    <row r="21" spans="2:14" ht="21.75" customHeight="1">
      <c r="B21" s="71">
        <v>13</v>
      </c>
      <c r="C21" s="72"/>
      <c r="D21" s="72"/>
      <c r="E21" s="78" t="str">
        <f t="shared" si="0"/>
        <v/>
      </c>
      <c r="F21" s="73"/>
      <c r="G21" s="73"/>
      <c r="H21" s="74"/>
      <c r="I21" s="87">
        <f>IFERROR(VLOOKUP(D21,'Master File - Rate Card'!$B$4:$K$163,10,0),0)</f>
        <v>0</v>
      </c>
      <c r="J21" s="87">
        <f>IFERROR(VLOOKUP(D21,'Master File - Rate Card'!$B$4:$K$163,9,0),0)</f>
        <v>0</v>
      </c>
      <c r="K21" s="88">
        <f t="shared" si="3"/>
        <v>0</v>
      </c>
      <c r="L21" s="89">
        <f t="shared" si="1"/>
        <v>0</v>
      </c>
      <c r="M21" s="89">
        <f t="shared" si="2"/>
        <v>0</v>
      </c>
      <c r="N21" s="77"/>
    </row>
    <row r="22" spans="2:14" ht="21.75" customHeight="1">
      <c r="B22" s="71">
        <v>14</v>
      </c>
      <c r="C22" s="72"/>
      <c r="D22" s="72"/>
      <c r="E22" s="78" t="str">
        <f t="shared" si="0"/>
        <v/>
      </c>
      <c r="F22" s="73"/>
      <c r="G22" s="73"/>
      <c r="H22" s="74"/>
      <c r="I22" s="87">
        <f>IFERROR(VLOOKUP(D22,'Master File - Rate Card'!$B$4:$K$163,10,0),0)</f>
        <v>0</v>
      </c>
      <c r="J22" s="87">
        <f>IFERROR(VLOOKUP(D22,'Master File - Rate Card'!$B$4:$K$163,9,0),0)</f>
        <v>0</v>
      </c>
      <c r="K22" s="88">
        <f t="shared" si="3"/>
        <v>0</v>
      </c>
      <c r="L22" s="89">
        <f t="shared" si="1"/>
        <v>0</v>
      </c>
      <c r="M22" s="89">
        <f t="shared" si="2"/>
        <v>0</v>
      </c>
      <c r="N22" s="79"/>
    </row>
    <row r="23" spans="2:14" ht="21.75" customHeight="1">
      <c r="B23" s="71">
        <v>15</v>
      </c>
      <c r="C23" s="72"/>
      <c r="D23" s="72"/>
      <c r="E23" s="78" t="str">
        <f t="shared" si="0"/>
        <v/>
      </c>
      <c r="F23" s="73"/>
      <c r="G23" s="73"/>
      <c r="H23" s="74"/>
      <c r="I23" s="87">
        <f>IFERROR(VLOOKUP(D23,'Master File - Rate Card'!$B$4:$K$163,10,0),0)</f>
        <v>0</v>
      </c>
      <c r="J23" s="87">
        <f>IFERROR(VLOOKUP(D23,'Master File - Rate Card'!$B$4:$K$163,9,0),0)</f>
        <v>0</v>
      </c>
      <c r="K23" s="88">
        <f t="shared" si="3"/>
        <v>0</v>
      </c>
      <c r="L23" s="89">
        <f t="shared" si="1"/>
        <v>0</v>
      </c>
      <c r="M23" s="89">
        <f t="shared" si="2"/>
        <v>0</v>
      </c>
      <c r="N23" s="77"/>
    </row>
    <row r="24" spans="2:14" ht="21.75" customHeight="1">
      <c r="B24" s="71">
        <v>16</v>
      </c>
      <c r="C24" s="72"/>
      <c r="D24" s="72"/>
      <c r="E24" s="78" t="str">
        <f t="shared" si="0"/>
        <v/>
      </c>
      <c r="F24" s="73"/>
      <c r="G24" s="73"/>
      <c r="H24" s="74"/>
      <c r="I24" s="87">
        <f>IFERROR(VLOOKUP(D24,'Master File - Rate Card'!$B$4:$K$163,10,0),0)</f>
        <v>0</v>
      </c>
      <c r="J24" s="87">
        <f>IFERROR(VLOOKUP(D24,'Master File - Rate Card'!$B$4:$K$163,9,0),0)</f>
        <v>0</v>
      </c>
      <c r="K24" s="88">
        <f t="shared" si="3"/>
        <v>0</v>
      </c>
      <c r="L24" s="89">
        <f t="shared" si="1"/>
        <v>0</v>
      </c>
      <c r="M24" s="89">
        <f t="shared" si="2"/>
        <v>0</v>
      </c>
      <c r="N24" s="79"/>
    </row>
    <row r="25" spans="2:14" ht="21.75" customHeight="1">
      <c r="B25" s="71">
        <v>17</v>
      </c>
      <c r="C25" s="72"/>
      <c r="D25" s="72"/>
      <c r="E25" s="78" t="str">
        <f t="shared" si="0"/>
        <v/>
      </c>
      <c r="F25" s="73"/>
      <c r="G25" s="73"/>
      <c r="H25" s="74"/>
      <c r="I25" s="87">
        <f>IFERROR(VLOOKUP(D25,'Master File - Rate Card'!$B$4:$K$163,10,0),0)</f>
        <v>0</v>
      </c>
      <c r="J25" s="87">
        <f>IFERROR(VLOOKUP(D25,'Master File - Rate Card'!$B$4:$K$163,9,0),0)</f>
        <v>0</v>
      </c>
      <c r="K25" s="88">
        <f t="shared" si="3"/>
        <v>0</v>
      </c>
      <c r="L25" s="89">
        <f t="shared" si="1"/>
        <v>0</v>
      </c>
      <c r="M25" s="89">
        <f t="shared" si="2"/>
        <v>0</v>
      </c>
      <c r="N25" s="77"/>
    </row>
    <row r="26" spans="2:14" ht="21.75" customHeight="1">
      <c r="B26" s="71">
        <v>18</v>
      </c>
      <c r="C26" s="72"/>
      <c r="D26" s="72"/>
      <c r="E26" s="78" t="str">
        <f t="shared" si="0"/>
        <v/>
      </c>
      <c r="F26" s="73"/>
      <c r="G26" s="73"/>
      <c r="H26" s="74"/>
      <c r="I26" s="87">
        <f>IFERROR(VLOOKUP(D26,'Master File - Rate Card'!$B$4:$K$163,10,0),0)</f>
        <v>0</v>
      </c>
      <c r="J26" s="87">
        <f>IFERROR(VLOOKUP(D26,'Master File - Rate Card'!$B$4:$K$163,9,0),0)</f>
        <v>0</v>
      </c>
      <c r="K26" s="88">
        <f t="shared" si="3"/>
        <v>0</v>
      </c>
      <c r="L26" s="89">
        <f t="shared" si="1"/>
        <v>0</v>
      </c>
      <c r="M26" s="89">
        <f t="shared" si="2"/>
        <v>0</v>
      </c>
      <c r="N26" s="79"/>
    </row>
    <row r="27" spans="2:14" ht="21.75" customHeight="1">
      <c r="B27" s="71">
        <v>19</v>
      </c>
      <c r="C27" s="72"/>
      <c r="D27" s="72"/>
      <c r="E27" s="78" t="str">
        <f t="shared" si="0"/>
        <v/>
      </c>
      <c r="F27" s="73"/>
      <c r="G27" s="73"/>
      <c r="H27" s="74"/>
      <c r="I27" s="87">
        <f>IFERROR(VLOOKUP(D27,'Master File - Rate Card'!$B$4:$K$163,10,0),0)</f>
        <v>0</v>
      </c>
      <c r="J27" s="87">
        <f>IFERROR(VLOOKUP(D27,'Master File - Rate Card'!$B$4:$K$163,9,0),0)</f>
        <v>0</v>
      </c>
      <c r="K27" s="88">
        <f t="shared" si="3"/>
        <v>0</v>
      </c>
      <c r="L27" s="89">
        <f t="shared" si="1"/>
        <v>0</v>
      </c>
      <c r="M27" s="89">
        <f t="shared" si="2"/>
        <v>0</v>
      </c>
      <c r="N27" s="77"/>
    </row>
    <row r="28" spans="2:14" ht="21.75" customHeight="1">
      <c r="B28" s="71">
        <v>20</v>
      </c>
      <c r="C28" s="72"/>
      <c r="D28" s="72"/>
      <c r="E28" s="78" t="str">
        <f t="shared" si="0"/>
        <v/>
      </c>
      <c r="F28" s="73"/>
      <c r="G28" s="73"/>
      <c r="H28" s="74"/>
      <c r="I28" s="87">
        <f>IFERROR(VLOOKUP(D28,'Master File - Rate Card'!$B$4:$K$163,10,0),0)</f>
        <v>0</v>
      </c>
      <c r="J28" s="87">
        <f>IFERROR(VLOOKUP(D28,'Master File - Rate Card'!$B$4:$K$163,9,0),0)</f>
        <v>0</v>
      </c>
      <c r="K28" s="88">
        <f t="shared" si="3"/>
        <v>0</v>
      </c>
      <c r="L28" s="89">
        <f t="shared" si="1"/>
        <v>0</v>
      </c>
      <c r="M28" s="89">
        <f t="shared" si="2"/>
        <v>0</v>
      </c>
      <c r="N28" s="79"/>
    </row>
    <row r="29" spans="2:14" ht="27.75" customHeight="1">
      <c r="B29" s="178" t="s">
        <v>113</v>
      </c>
      <c r="C29" s="178"/>
      <c r="D29" s="178"/>
      <c r="E29" s="178"/>
      <c r="F29" s="178"/>
      <c r="G29" s="81"/>
      <c r="H29" s="81"/>
      <c r="I29" s="81"/>
      <c r="L29" s="88">
        <f>SUM(L9:L28)</f>
        <v>1164.8745519713261</v>
      </c>
      <c r="M29" s="88">
        <f>SUM(M9:M28)</f>
        <v>2329.7491039426523</v>
      </c>
      <c r="N29" s="82"/>
    </row>
    <row r="30" spans="2:14" ht="19.5" customHeight="1"/>
    <row r="31" spans="2:14" ht="19.5" customHeight="1">
      <c r="E31" s="13"/>
      <c r="F31" s="13" t="s">
        <v>104</v>
      </c>
      <c r="G31" s="83">
        <f>SUM(F9:F28)</f>
        <v>1</v>
      </c>
    </row>
    <row r="32" spans="2:14" ht="24" customHeight="1">
      <c r="F32" s="179" t="str">
        <f>COUNTA(_xlfn.UNIQUE(D9:D28))&amp;" roles configured | Margin: "&amp;TEXT($E$5,"0.0%")&amp;" | Hours/Month: "&amp;$O$4</f>
        <v>2 roles configured | Margin: 50.0% | Hours/Month: 160</v>
      </c>
      <c r="G32" s="179"/>
      <c r="H32" s="179"/>
      <c r="I32" s="179"/>
      <c r="J32" s="179"/>
      <c r="K32" s="179"/>
      <c r="L32" s="179"/>
    </row>
    <row r="33" spans="2:15" ht="18" customHeight="1">
      <c r="B33" s="180" t="s">
        <v>114</v>
      </c>
      <c r="C33" s="180"/>
      <c r="D33" s="180"/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</row>
    <row r="34" spans="2:15" ht="15.75" customHeight="1">
      <c r="B34" s="184" t="s">
        <v>106</v>
      </c>
      <c r="C34" s="184"/>
      <c r="D34" s="184"/>
      <c r="E34" s="184"/>
      <c r="F34" s="182" t="s">
        <v>107</v>
      </c>
      <c r="G34" s="182"/>
      <c r="H34" s="182"/>
      <c r="I34" s="182"/>
      <c r="J34" s="183" t="s">
        <v>108</v>
      </c>
      <c r="K34" s="183"/>
      <c r="L34" s="183"/>
      <c r="M34" s="183"/>
      <c r="N34" s="183"/>
      <c r="O34" s="183"/>
    </row>
  </sheetData>
  <mergeCells count="12">
    <mergeCell ref="B6:D6"/>
    <mergeCell ref="B29:F29"/>
    <mergeCell ref="F32:L32"/>
    <mergeCell ref="B33:O33"/>
    <mergeCell ref="B34:E34"/>
    <mergeCell ref="F34:I34"/>
    <mergeCell ref="J34:O34"/>
    <mergeCell ref="B2:O2"/>
    <mergeCell ref="B4:D4"/>
    <mergeCell ref="E4:I4"/>
    <mergeCell ref="J4:M4"/>
    <mergeCell ref="B5:D5"/>
  </mergeCells>
  <dataValidations count="4">
    <dataValidation type="whole" operator="greaterThan" allowBlank="1" sqref="F9:F28" xr:uid="{00000000-0002-0000-0400-000000000000}">
      <formula1>0</formula1>
      <formula2>0</formula2>
    </dataValidation>
    <dataValidation type="decimal" allowBlank="1" showErrorMessage="1" errorTitle="Invalid Billability" error="Enter a value between 0 and 1 (e.g. 0.8 for 80%)" sqref="H9:H28" xr:uid="{00000000-0002-0000-0400-000001000000}">
      <formula1>0</formula1>
      <formula2>1</formula2>
    </dataValidation>
    <dataValidation type="list" allowBlank="1" sqref="D9:D28" xr:uid="{00000000-0002-0000-0400-000002000000}">
      <formula1>INDIRECT(SUBSTITUTE(SUBSTITUTE(SUBSTITUTE(C9,"&amp;","_")," ","_"),"-","_"))</formula1>
      <formula2>0</formula2>
    </dataValidation>
    <dataValidation type="list" allowBlank="1" showErrorMessage="1" errorTitle="Invalid Category" error="Please select a category from the list" sqref="C9:C28" xr:uid="{00000000-0002-0000-0400-000003000000}">
      <formula1>CategoryList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3"/>
  <sheetViews>
    <sheetView showGridLines="0" topLeftCell="C1" zoomScale="70" zoomScaleNormal="70" workbookViewId="0">
      <selection activeCell="O11" sqref="O11"/>
    </sheetView>
  </sheetViews>
  <sheetFormatPr defaultColWidth="8.5703125" defaultRowHeight="14.45"/>
  <cols>
    <col min="1" max="1" width="20" customWidth="1"/>
    <col min="2" max="3" width="14" customWidth="1"/>
    <col min="4" max="4" width="25.7109375" customWidth="1"/>
    <col min="5" max="7" width="14" customWidth="1"/>
    <col min="8" max="8" width="16" customWidth="1"/>
    <col min="9" max="10" width="16" hidden="1" customWidth="1"/>
    <col min="11" max="11" width="9.5703125" customWidth="1"/>
    <col min="12" max="12" width="9.42578125" customWidth="1"/>
    <col min="13" max="13" width="18" customWidth="1"/>
    <col min="14" max="15" width="20" customWidth="1"/>
    <col min="17" max="17" width="20" customWidth="1"/>
    <col min="18" max="18" width="10" customWidth="1"/>
  </cols>
  <sheetData>
    <row r="1" spans="1:18" ht="37.5" customHeight="1">
      <c r="A1" s="91" t="s">
        <v>115</v>
      </c>
      <c r="B1" s="91" t="s">
        <v>116</v>
      </c>
      <c r="C1" s="91" t="s">
        <v>117</v>
      </c>
      <c r="D1" s="91" t="s">
        <v>118</v>
      </c>
      <c r="E1" s="91" t="s">
        <v>119</v>
      </c>
      <c r="F1" s="91" t="s">
        <v>120</v>
      </c>
      <c r="G1" s="91" t="s">
        <v>121</v>
      </c>
      <c r="H1" s="91" t="s">
        <v>122</v>
      </c>
      <c r="I1" s="91" t="s">
        <v>123</v>
      </c>
      <c r="J1" s="91" t="s">
        <v>124</v>
      </c>
      <c r="K1" s="92" t="s">
        <v>123</v>
      </c>
      <c r="L1" s="92" t="s">
        <v>124</v>
      </c>
      <c r="M1" s="91" t="s">
        <v>125</v>
      </c>
      <c r="N1" s="91" t="s">
        <v>126</v>
      </c>
      <c r="O1" s="91" t="s">
        <v>127</v>
      </c>
      <c r="Q1" s="93" t="s">
        <v>128</v>
      </c>
      <c r="R1" s="94">
        <v>0.8</v>
      </c>
    </row>
    <row r="2" spans="1:18" ht="14.25" customHeight="1">
      <c r="A2" s="47" t="s">
        <v>129</v>
      </c>
      <c r="B2" s="95">
        <v>0.68730000000000002</v>
      </c>
      <c r="C2" s="95">
        <v>0.56110000000000004</v>
      </c>
      <c r="D2" s="95">
        <v>0.77869999999999995</v>
      </c>
      <c r="E2" s="95">
        <v>0.64300000000000002</v>
      </c>
      <c r="F2" s="95">
        <v>0.315</v>
      </c>
      <c r="G2" s="95">
        <v>0.2271</v>
      </c>
      <c r="H2" s="96">
        <f t="shared" ref="H2:H8" si="0">IFERROR(IF(B2="","",C2/B2),"")</f>
        <v>0.81638294776662301</v>
      </c>
      <c r="I2" s="96">
        <f>IFERROR(IF(D2="","",E2/D2),"")</f>
        <v>0.8257351996917941</v>
      </c>
      <c r="J2" s="96">
        <f>IFERROR(IF(F2="","",G2/F2),"")</f>
        <v>0.7209523809523809</v>
      </c>
      <c r="K2" s="97">
        <f t="shared" ref="K2:K8" si="1">IFERROR(IF(D2="","",E2/D2),"")</f>
        <v>0.8257351996917941</v>
      </c>
      <c r="L2" s="97">
        <f t="shared" ref="L2:L8" si="2">IFERROR(IF(F2="","",G2/F2),"")</f>
        <v>0.7209523809523809</v>
      </c>
      <c r="M2" s="96">
        <f t="shared" ref="M2:O8" si="3">IF(OR($A2="TMT",$A2="RCM"),H2,$R$1)</f>
        <v>0.81638294776662301</v>
      </c>
      <c r="N2" s="96">
        <f t="shared" si="3"/>
        <v>0.8257351996917941</v>
      </c>
      <c r="O2" s="96">
        <f t="shared" si="3"/>
        <v>0.7209523809523809</v>
      </c>
    </row>
    <row r="3" spans="1:18" ht="14.25" customHeight="1">
      <c r="A3" s="98" t="s">
        <v>130</v>
      </c>
      <c r="B3" s="99">
        <v>0.81850000000000001</v>
      </c>
      <c r="C3" s="99">
        <v>0.4123</v>
      </c>
      <c r="D3" s="99">
        <v>0.81850000000000001</v>
      </c>
      <c r="E3" s="99">
        <v>0.4123</v>
      </c>
      <c r="F3" s="100"/>
      <c r="G3" s="100"/>
      <c r="H3" s="101">
        <f t="shared" si="0"/>
        <v>0.50372632864996947</v>
      </c>
      <c r="I3" s="101">
        <v>0.8</v>
      </c>
      <c r="J3" s="101">
        <v>0.8</v>
      </c>
      <c r="K3" s="97">
        <f t="shared" si="1"/>
        <v>0.50372632864996947</v>
      </c>
      <c r="L3" s="97" t="str">
        <f t="shared" si="2"/>
        <v/>
      </c>
      <c r="M3" s="96">
        <f t="shared" si="3"/>
        <v>0.8</v>
      </c>
      <c r="N3" s="96">
        <f t="shared" si="3"/>
        <v>0.8</v>
      </c>
      <c r="O3" s="96">
        <f t="shared" si="3"/>
        <v>0.8</v>
      </c>
    </row>
    <row r="4" spans="1:18" ht="14.25" customHeight="1">
      <c r="A4" s="47" t="s">
        <v>36</v>
      </c>
      <c r="B4" s="95">
        <v>0.63100000000000001</v>
      </c>
      <c r="C4" s="95">
        <v>0.49480000000000002</v>
      </c>
      <c r="D4" s="95">
        <v>0.6905</v>
      </c>
      <c r="E4" s="95">
        <v>0.55020000000000002</v>
      </c>
      <c r="F4" s="95">
        <v>0.41039999999999999</v>
      </c>
      <c r="G4" s="95">
        <v>0.2893</v>
      </c>
      <c r="H4" s="96">
        <f t="shared" si="0"/>
        <v>0.78415213946117279</v>
      </c>
      <c r="I4" s="96">
        <f>IFERROR(IF(D4="","",E4/D4),"")</f>
        <v>0.79681390296886312</v>
      </c>
      <c r="J4" s="96">
        <f>IFERROR(IF(F4="","",G4/F4),"")</f>
        <v>0.70492202729044839</v>
      </c>
      <c r="K4" s="97">
        <f t="shared" si="1"/>
        <v>0.79681390296886312</v>
      </c>
      <c r="L4" s="97">
        <f t="shared" si="2"/>
        <v>0.70492202729044839</v>
      </c>
      <c r="M4" s="96">
        <f t="shared" si="3"/>
        <v>0.78415213946117279</v>
      </c>
      <c r="N4" s="96">
        <f t="shared" si="3"/>
        <v>0.79681390296886312</v>
      </c>
      <c r="O4" s="96">
        <f t="shared" si="3"/>
        <v>0.70492202729044839</v>
      </c>
    </row>
    <row r="5" spans="1:18" ht="14.25" customHeight="1">
      <c r="A5" s="98" t="s">
        <v>131</v>
      </c>
      <c r="B5" s="99">
        <v>0.77129999999999999</v>
      </c>
      <c r="C5" s="99">
        <v>0.5403</v>
      </c>
      <c r="D5" s="99">
        <v>0.77129999999999999</v>
      </c>
      <c r="E5" s="99">
        <v>0.5403</v>
      </c>
      <c r="F5" s="100"/>
      <c r="G5" s="100"/>
      <c r="H5" s="101">
        <f t="shared" si="0"/>
        <v>0.70050563982886038</v>
      </c>
      <c r="I5" s="101">
        <v>0.8</v>
      </c>
      <c r="J5" s="101">
        <v>0.8</v>
      </c>
      <c r="K5" s="97">
        <f t="shared" si="1"/>
        <v>0.70050563982886038</v>
      </c>
      <c r="L5" s="97" t="str">
        <f t="shared" si="2"/>
        <v/>
      </c>
      <c r="M5" s="96">
        <f t="shared" si="3"/>
        <v>0.8</v>
      </c>
      <c r="N5" s="96">
        <f t="shared" si="3"/>
        <v>0.8</v>
      </c>
      <c r="O5" s="96">
        <f t="shared" si="3"/>
        <v>0.8</v>
      </c>
    </row>
    <row r="6" spans="1:18" ht="14.25" customHeight="1">
      <c r="A6" s="47" t="s">
        <v>132</v>
      </c>
      <c r="B6" s="95">
        <v>0.58209999999999995</v>
      </c>
      <c r="C6" s="95">
        <v>0.39600000000000002</v>
      </c>
      <c r="D6" s="95">
        <v>0.65069999999999995</v>
      </c>
      <c r="E6" s="95">
        <v>0.40500000000000003</v>
      </c>
      <c r="F6" s="95">
        <v>0.46489999999999998</v>
      </c>
      <c r="G6" s="95">
        <v>0.38069999999999998</v>
      </c>
      <c r="H6" s="96">
        <f t="shared" si="0"/>
        <v>0.68029548187596645</v>
      </c>
      <c r="I6" s="96">
        <v>0.8</v>
      </c>
      <c r="J6" s="96">
        <v>0.8</v>
      </c>
      <c r="K6" s="97">
        <f t="shared" si="1"/>
        <v>0.6224066390041495</v>
      </c>
      <c r="L6" s="97">
        <f t="shared" si="2"/>
        <v>0.81888578188857819</v>
      </c>
      <c r="M6" s="96">
        <f t="shared" si="3"/>
        <v>0.8</v>
      </c>
      <c r="N6" s="96">
        <f t="shared" si="3"/>
        <v>0.8</v>
      </c>
      <c r="O6" s="96">
        <f t="shared" si="3"/>
        <v>0.8</v>
      </c>
    </row>
    <row r="7" spans="1:18" ht="14.25" customHeight="1">
      <c r="A7" s="98" t="s">
        <v>133</v>
      </c>
      <c r="B7" s="99">
        <v>0.64480000000000004</v>
      </c>
      <c r="C7" s="99">
        <v>0.33729999999999999</v>
      </c>
      <c r="D7" s="99">
        <v>0.80900000000000005</v>
      </c>
      <c r="E7" s="99">
        <v>0.38829999999999998</v>
      </c>
      <c r="F7" s="99">
        <v>0.36649999999999999</v>
      </c>
      <c r="G7" s="99">
        <v>0.251</v>
      </c>
      <c r="H7" s="101">
        <f t="shared" si="0"/>
        <v>0.5231079404466501</v>
      </c>
      <c r="I7" s="101">
        <v>0.8</v>
      </c>
      <c r="J7" s="101">
        <v>0.8</v>
      </c>
      <c r="K7" s="97">
        <f t="shared" si="1"/>
        <v>0.47997527812113716</v>
      </c>
      <c r="L7" s="97">
        <f t="shared" si="2"/>
        <v>0.68485675306957705</v>
      </c>
      <c r="M7" s="96">
        <f t="shared" si="3"/>
        <v>0.8</v>
      </c>
      <c r="N7" s="96">
        <f t="shared" si="3"/>
        <v>0.8</v>
      </c>
      <c r="O7" s="96">
        <f t="shared" si="3"/>
        <v>0.8</v>
      </c>
    </row>
    <row r="8" spans="1:18" ht="14.25" customHeight="1">
      <c r="A8" s="47" t="s">
        <v>134</v>
      </c>
      <c r="B8" s="95">
        <v>0.79620000000000002</v>
      </c>
      <c r="C8" s="95">
        <v>0.50560000000000005</v>
      </c>
      <c r="D8" s="95">
        <v>0.72619999999999996</v>
      </c>
      <c r="E8" s="95">
        <v>0.49940000000000001</v>
      </c>
      <c r="F8" s="95">
        <v>0.96140000000000003</v>
      </c>
      <c r="G8" s="95">
        <v>0.52010000000000001</v>
      </c>
      <c r="H8" s="96">
        <f t="shared" si="0"/>
        <v>0.63501632755589055</v>
      </c>
      <c r="I8" s="96">
        <v>0.8</v>
      </c>
      <c r="J8" s="96">
        <v>0.8</v>
      </c>
      <c r="K8" s="97">
        <f t="shared" si="1"/>
        <v>0.68768934177912422</v>
      </c>
      <c r="L8" s="97">
        <f t="shared" si="2"/>
        <v>0.54098190139380065</v>
      </c>
      <c r="M8" s="96">
        <f t="shared" si="3"/>
        <v>0.8</v>
      </c>
      <c r="N8" s="96">
        <f t="shared" si="3"/>
        <v>0.8</v>
      </c>
      <c r="O8" s="96">
        <f t="shared" si="3"/>
        <v>0.8</v>
      </c>
    </row>
    <row r="9" spans="1:18" ht="14.25" customHeight="1">
      <c r="A9" s="102" t="s">
        <v>135</v>
      </c>
      <c r="H9" s="186" t="s">
        <v>136</v>
      </c>
      <c r="I9" s="186"/>
      <c r="J9" s="186"/>
      <c r="K9" s="186"/>
      <c r="L9" s="187"/>
    </row>
    <row r="10" spans="1:18" ht="27.75" customHeight="1">
      <c r="A10" s="103"/>
    </row>
    <row r="13" spans="1:18" ht="21.75" customHeight="1">
      <c r="A13" s="185"/>
      <c r="B13" s="185"/>
      <c r="C13" s="185"/>
      <c r="D13" s="185"/>
      <c r="E13" s="185"/>
      <c r="F13" s="185"/>
      <c r="G13" s="185"/>
      <c r="H13" s="185"/>
      <c r="I13" s="185"/>
      <c r="J13" s="185"/>
    </row>
    <row r="14" spans="1:18" ht="23.25" customHeight="1">
      <c r="A14" s="104"/>
      <c r="B14" s="104"/>
      <c r="C14" s="104"/>
      <c r="D14" s="105"/>
    </row>
    <row r="15" spans="1:18" ht="14.25" customHeight="1">
      <c r="A15" s="93"/>
      <c r="B15" s="106"/>
      <c r="C15" s="107"/>
      <c r="D15" s="108"/>
      <c r="E15" s="109"/>
      <c r="F15" s="109"/>
      <c r="G15" s="109"/>
      <c r="H15" s="109"/>
      <c r="I15" s="109"/>
      <c r="J15" s="109"/>
    </row>
    <row r="16" spans="1:18" ht="27.75" customHeight="1">
      <c r="A16" s="93"/>
      <c r="B16" s="106"/>
      <c r="C16" s="107"/>
      <c r="D16" s="108"/>
    </row>
    <row r="17" spans="1:4" ht="27.75" customHeight="1">
      <c r="A17" s="93"/>
      <c r="B17" s="106"/>
      <c r="C17" s="107"/>
      <c r="D17" s="108"/>
    </row>
    <row r="18" spans="1:4" ht="27.75" customHeight="1">
      <c r="A18" s="93"/>
      <c r="B18" s="106"/>
      <c r="C18" s="107"/>
      <c r="D18" s="108"/>
    </row>
    <row r="19" spans="1:4" ht="27.75" customHeight="1">
      <c r="A19" s="93"/>
      <c r="B19" s="106"/>
      <c r="C19" s="107"/>
      <c r="D19" s="108"/>
    </row>
    <row r="20" spans="1:4" ht="27.75" customHeight="1">
      <c r="A20" s="93"/>
      <c r="B20" s="106"/>
      <c r="C20" s="107"/>
      <c r="D20" s="108"/>
    </row>
    <row r="21" spans="1:4" ht="27.75" customHeight="1">
      <c r="A21" s="93"/>
      <c r="B21" s="106"/>
      <c r="C21" s="107"/>
      <c r="D21" s="108"/>
    </row>
    <row r="23" spans="1:4" ht="14.25" customHeight="1">
      <c r="A23" s="109"/>
      <c r="B23" s="109"/>
      <c r="C23" s="109"/>
      <c r="D23" s="109"/>
    </row>
  </sheetData>
  <mergeCells count="2">
    <mergeCell ref="A13:J13"/>
    <mergeCell ref="H9:L9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74"/>
  <sheetViews>
    <sheetView topLeftCell="O1" zoomScale="59" zoomScaleNormal="59" workbookViewId="0">
      <pane xSplit="1" ySplit="1" topLeftCell="B2" activePane="bottomRight" state="frozen"/>
      <selection pane="bottomRight" activeCell="P33" sqref="P33"/>
      <selection pane="bottomLeft" activeCell="O2" sqref="O2"/>
      <selection pane="topRight" activeCell="B1" sqref="B1"/>
    </sheetView>
  </sheetViews>
  <sheetFormatPr defaultColWidth="8.5703125" defaultRowHeight="14.45"/>
  <cols>
    <col min="1" max="1" width="26" customWidth="1"/>
    <col min="2" max="2" width="32" customWidth="1"/>
    <col min="3" max="3" width="46" customWidth="1"/>
    <col min="4" max="4" width="40" customWidth="1"/>
    <col min="5" max="5" width="34" customWidth="1"/>
    <col min="6" max="6" width="30" customWidth="1"/>
    <col min="7" max="7" width="34" customWidth="1"/>
    <col min="8" max="8" width="32" customWidth="1"/>
    <col min="9" max="9" width="3" customWidth="1"/>
    <col min="10" max="10" width="16" customWidth="1"/>
    <col min="11" max="14" width="3" customWidth="1"/>
    <col min="15" max="15" width="26" customWidth="1"/>
    <col min="16" max="16" width="50" customWidth="1"/>
    <col min="17" max="18" width="14" customWidth="1"/>
    <col min="19" max="19" width="60" customWidth="1"/>
    <col min="20" max="21" width="16" customWidth="1"/>
    <col min="29" max="29" width="14" customWidth="1"/>
  </cols>
  <sheetData>
    <row r="1" spans="1:29" ht="27.75" customHeight="1">
      <c r="A1" s="110" t="s">
        <v>137</v>
      </c>
      <c r="B1" s="110" t="s">
        <v>138</v>
      </c>
      <c r="C1" s="110" t="s">
        <v>139</v>
      </c>
      <c r="D1" s="110" t="s">
        <v>140</v>
      </c>
      <c r="E1" s="110" t="s">
        <v>141</v>
      </c>
      <c r="F1" s="110" t="s">
        <v>142</v>
      </c>
      <c r="G1" s="110" t="s">
        <v>143</v>
      </c>
      <c r="H1" s="110" t="s">
        <v>144</v>
      </c>
      <c r="J1" s="110" t="s">
        <v>145</v>
      </c>
      <c r="O1" s="55" t="s">
        <v>89</v>
      </c>
      <c r="P1" s="55" t="s">
        <v>146</v>
      </c>
      <c r="Q1" s="55" t="s">
        <v>147</v>
      </c>
      <c r="R1" s="55" t="s">
        <v>148</v>
      </c>
      <c r="S1" s="55" t="s">
        <v>149</v>
      </c>
      <c r="T1" s="55" t="s">
        <v>150</v>
      </c>
      <c r="U1" s="55" t="s">
        <v>151</v>
      </c>
      <c r="AC1" s="110" t="s">
        <v>152</v>
      </c>
    </row>
    <row r="2" spans="1:29" ht="15" customHeight="1">
      <c r="A2" s="111" t="s">
        <v>153</v>
      </c>
      <c r="B2" s="111" t="s">
        <v>154</v>
      </c>
      <c r="C2" s="111" t="s">
        <v>155</v>
      </c>
      <c r="D2" s="112" t="s">
        <v>156</v>
      </c>
      <c r="E2" s="111" t="s">
        <v>157</v>
      </c>
      <c r="F2" s="111" t="s">
        <v>158</v>
      </c>
      <c r="G2" s="111" t="s">
        <v>159</v>
      </c>
      <c r="H2" s="111" t="s">
        <v>160</v>
      </c>
      <c r="I2" s="111"/>
      <c r="J2" s="111" t="s">
        <v>129</v>
      </c>
      <c r="K2" s="111"/>
      <c r="O2" s="112" t="s">
        <v>153</v>
      </c>
      <c r="P2" s="112" t="s">
        <v>154</v>
      </c>
      <c r="Q2" s="113">
        <f ca="1">IFERROR(VLOOKUP($P2,'Master File - Rate Card'!$B:$G,6,0),"")</f>
        <v>95</v>
      </c>
      <c r="R2" s="113">
        <f ca="1">IFERROR(VLOOKUP($P2,'Master File - Rate Card'!$B:$K,10,0),"")</f>
        <v>20.441308243727601</v>
      </c>
      <c r="S2" s="112" t="s">
        <v>161</v>
      </c>
      <c r="T2" s="114">
        <f ca="1">Q2</f>
        <v>95</v>
      </c>
      <c r="U2" s="115">
        <f ca="1">R2</f>
        <v>20.441308243727601</v>
      </c>
      <c r="AC2" t="s">
        <v>162</v>
      </c>
    </row>
    <row r="3" spans="1:29" ht="15" customHeight="1">
      <c r="A3" s="111" t="s">
        <v>101</v>
      </c>
      <c r="B3" s="111" t="s">
        <v>163</v>
      </c>
      <c r="C3" s="111" t="s">
        <v>164</v>
      </c>
      <c r="D3" s="112" t="s">
        <v>165</v>
      </c>
      <c r="E3" s="111" t="s">
        <v>166</v>
      </c>
      <c r="F3" s="111" t="s">
        <v>167</v>
      </c>
      <c r="G3" s="111" t="s">
        <v>168</v>
      </c>
      <c r="H3" s="111" t="s">
        <v>169</v>
      </c>
      <c r="I3" s="111"/>
      <c r="J3" s="111" t="s">
        <v>130</v>
      </c>
      <c r="K3" s="111"/>
      <c r="O3" s="112"/>
      <c r="P3" s="112"/>
      <c r="Q3" s="112"/>
      <c r="R3" s="112"/>
      <c r="S3" s="112"/>
      <c r="T3" s="116"/>
      <c r="AC3" t="s">
        <v>170</v>
      </c>
    </row>
    <row r="4" spans="1:29" ht="15" customHeight="1">
      <c r="A4" s="111" t="s">
        <v>171</v>
      </c>
      <c r="B4" s="111" t="s">
        <v>172</v>
      </c>
      <c r="C4" s="111" t="s">
        <v>173</v>
      </c>
      <c r="D4" s="112" t="s">
        <v>174</v>
      </c>
      <c r="E4" s="111" t="s">
        <v>175</v>
      </c>
      <c r="F4" s="111" t="s">
        <v>176</v>
      </c>
      <c r="G4" s="111"/>
      <c r="H4" s="111" t="s">
        <v>177</v>
      </c>
      <c r="I4" s="111"/>
      <c r="J4" s="111" t="s">
        <v>36</v>
      </c>
      <c r="K4" s="111"/>
      <c r="O4" s="112"/>
      <c r="P4" s="112"/>
      <c r="Q4" s="112"/>
      <c r="R4" s="112"/>
      <c r="S4" s="112"/>
      <c r="T4" s="116"/>
      <c r="AC4" t="s">
        <v>178</v>
      </c>
    </row>
    <row r="5" spans="1:29" ht="15" customHeight="1">
      <c r="A5" s="111" t="s">
        <v>179</v>
      </c>
      <c r="B5" s="111" t="s">
        <v>180</v>
      </c>
      <c r="C5" s="111" t="s">
        <v>181</v>
      </c>
      <c r="D5" s="112" t="s">
        <v>182</v>
      </c>
      <c r="E5" s="111" t="s">
        <v>183</v>
      </c>
      <c r="F5" s="111" t="s">
        <v>184</v>
      </c>
      <c r="G5" s="111"/>
      <c r="H5" s="111" t="s">
        <v>185</v>
      </c>
      <c r="I5" s="111"/>
      <c r="J5" s="111" t="s">
        <v>131</v>
      </c>
      <c r="K5" s="111"/>
      <c r="O5" s="112"/>
      <c r="P5" s="112"/>
      <c r="Q5" s="112"/>
      <c r="R5" s="112"/>
      <c r="S5" s="112"/>
      <c r="T5" s="116"/>
      <c r="AC5" t="s">
        <v>186</v>
      </c>
    </row>
    <row r="6" spans="1:29" ht="15" customHeight="1">
      <c r="A6" s="111" t="s">
        <v>187</v>
      </c>
      <c r="B6" s="111" t="s">
        <v>188</v>
      </c>
      <c r="C6" s="111" t="s">
        <v>189</v>
      </c>
      <c r="D6" s="112" t="s">
        <v>190</v>
      </c>
      <c r="E6" s="111" t="s">
        <v>191</v>
      </c>
      <c r="F6" s="111" t="s">
        <v>192</v>
      </c>
      <c r="G6" s="111"/>
      <c r="H6" s="111" t="s">
        <v>193</v>
      </c>
      <c r="I6" s="111"/>
      <c r="J6" s="111" t="s">
        <v>132</v>
      </c>
      <c r="K6" s="111"/>
      <c r="O6" s="112"/>
      <c r="P6" s="112"/>
      <c r="Q6" s="112"/>
      <c r="R6" s="112"/>
      <c r="S6" s="112"/>
      <c r="T6" s="116"/>
      <c r="AC6" t="s">
        <v>194</v>
      </c>
    </row>
    <row r="7" spans="1:29" ht="15" customHeight="1">
      <c r="A7" s="111" t="s">
        <v>143</v>
      </c>
      <c r="B7" s="111" t="s">
        <v>195</v>
      </c>
      <c r="C7" s="111" t="s">
        <v>102</v>
      </c>
      <c r="D7" s="112" t="s">
        <v>196</v>
      </c>
      <c r="E7" s="111" t="s">
        <v>197</v>
      </c>
      <c r="F7" s="111"/>
      <c r="G7" s="111"/>
      <c r="H7" s="111" t="s">
        <v>198</v>
      </c>
      <c r="I7" s="111"/>
      <c r="J7" s="111" t="s">
        <v>133</v>
      </c>
      <c r="K7" s="111"/>
      <c r="O7" s="112"/>
      <c r="P7" s="112"/>
      <c r="Q7" s="112"/>
      <c r="R7" s="112"/>
      <c r="S7" s="112"/>
      <c r="T7" s="116"/>
      <c r="AC7" t="s">
        <v>199</v>
      </c>
    </row>
    <row r="8" spans="1:29" ht="15" customHeight="1">
      <c r="A8" s="111" t="s">
        <v>144</v>
      </c>
      <c r="B8" s="111" t="s">
        <v>200</v>
      </c>
      <c r="C8" s="111" t="s">
        <v>201</v>
      </c>
      <c r="D8" s="112" t="s">
        <v>202</v>
      </c>
      <c r="E8" s="111" t="s">
        <v>203</v>
      </c>
      <c r="F8" s="111"/>
      <c r="G8" s="111"/>
      <c r="H8" s="111" t="s">
        <v>204</v>
      </c>
      <c r="I8" s="111"/>
      <c r="J8" s="111" t="s">
        <v>134</v>
      </c>
      <c r="K8" s="111"/>
      <c r="O8" s="112"/>
      <c r="P8" s="112"/>
      <c r="Q8" s="112"/>
      <c r="R8" s="112"/>
      <c r="S8" s="112"/>
      <c r="T8" s="116"/>
      <c r="AC8" t="s">
        <v>205</v>
      </c>
    </row>
    <row r="9" spans="1:29" ht="15" customHeight="1">
      <c r="A9" s="111"/>
      <c r="B9" s="111" t="s">
        <v>206</v>
      </c>
      <c r="C9" s="111" t="s">
        <v>207</v>
      </c>
      <c r="D9" s="112" t="s">
        <v>208</v>
      </c>
      <c r="E9" s="111" t="s">
        <v>209</v>
      </c>
      <c r="F9" s="111"/>
      <c r="G9" s="111"/>
      <c r="H9" s="111" t="s">
        <v>210</v>
      </c>
      <c r="I9" s="111"/>
      <c r="J9" s="111"/>
      <c r="K9" s="111"/>
      <c r="O9" s="112"/>
      <c r="P9" s="112"/>
      <c r="Q9" s="112"/>
      <c r="R9" s="112"/>
      <c r="S9" s="112"/>
      <c r="T9" s="116"/>
      <c r="AC9" t="s">
        <v>211</v>
      </c>
    </row>
    <row r="10" spans="1:29" ht="15" customHeight="1">
      <c r="A10" s="111"/>
      <c r="B10" s="111" t="s">
        <v>212</v>
      </c>
      <c r="C10" s="111" t="s">
        <v>213</v>
      </c>
      <c r="D10" s="112" t="s">
        <v>214</v>
      </c>
      <c r="E10" s="111" t="s">
        <v>215</v>
      </c>
      <c r="F10" s="111"/>
      <c r="G10" s="111"/>
      <c r="H10" s="111" t="s">
        <v>216</v>
      </c>
      <c r="I10" s="111"/>
      <c r="J10" s="111"/>
      <c r="K10" s="111"/>
      <c r="O10" s="112"/>
      <c r="P10" s="112"/>
      <c r="Q10" s="112"/>
      <c r="R10" s="112"/>
      <c r="S10" s="112"/>
      <c r="T10" s="116"/>
      <c r="AC10" t="s">
        <v>133</v>
      </c>
    </row>
    <row r="11" spans="1:29" ht="15" customHeight="1">
      <c r="A11" s="111"/>
      <c r="B11" s="111" t="s">
        <v>217</v>
      </c>
      <c r="C11" s="111" t="s">
        <v>218</v>
      </c>
      <c r="D11" s="112" t="s">
        <v>219</v>
      </c>
      <c r="E11" s="111" t="s">
        <v>220</v>
      </c>
      <c r="F11" s="111"/>
      <c r="G11" s="111"/>
      <c r="H11" s="111" t="s">
        <v>221</v>
      </c>
      <c r="I11" s="111"/>
      <c r="J11" s="111"/>
      <c r="K11" s="111"/>
      <c r="O11" s="112"/>
      <c r="P11" s="112"/>
      <c r="Q11" s="112"/>
      <c r="R11" s="112"/>
      <c r="S11" s="112"/>
      <c r="T11" s="116"/>
      <c r="AC11" t="s">
        <v>222</v>
      </c>
    </row>
    <row r="12" spans="1:29" ht="15" customHeight="1">
      <c r="A12" s="111"/>
      <c r="B12" s="111" t="s">
        <v>223</v>
      </c>
      <c r="C12" s="111" t="s">
        <v>224</v>
      </c>
      <c r="D12" s="112" t="s">
        <v>225</v>
      </c>
      <c r="E12" s="111" t="s">
        <v>226</v>
      </c>
      <c r="F12" s="111"/>
      <c r="G12" s="111"/>
      <c r="H12" s="111" t="s">
        <v>227</v>
      </c>
      <c r="I12" s="111"/>
      <c r="J12" s="111"/>
      <c r="K12" s="111"/>
      <c r="O12" s="112"/>
      <c r="P12" s="112"/>
      <c r="Q12" s="112"/>
      <c r="R12" s="112"/>
      <c r="S12" s="112"/>
      <c r="T12" s="116"/>
    </row>
    <row r="13" spans="1:29" ht="15" customHeight="1">
      <c r="A13" s="111"/>
      <c r="B13" s="111" t="s">
        <v>228</v>
      </c>
      <c r="C13" s="111" t="s">
        <v>229</v>
      </c>
      <c r="D13" s="112" t="s">
        <v>230</v>
      </c>
      <c r="E13" s="111" t="s">
        <v>231</v>
      </c>
      <c r="F13" s="111"/>
      <c r="G13" s="111"/>
      <c r="H13" s="111" t="s">
        <v>232</v>
      </c>
      <c r="I13" s="111"/>
      <c r="J13" s="111"/>
      <c r="K13" s="111"/>
      <c r="O13" s="112"/>
      <c r="P13" s="112"/>
      <c r="Q13" s="112"/>
      <c r="R13" s="112"/>
      <c r="S13" s="112"/>
      <c r="T13" s="116"/>
    </row>
    <row r="14" spans="1:29" ht="15" customHeight="1">
      <c r="A14" s="111"/>
      <c r="B14" s="111" t="s">
        <v>233</v>
      </c>
      <c r="C14" s="111" t="s">
        <v>234</v>
      </c>
      <c r="D14" s="112" t="s">
        <v>235</v>
      </c>
      <c r="E14" s="111" t="s">
        <v>236</v>
      </c>
      <c r="F14" s="111"/>
      <c r="G14" s="111"/>
      <c r="H14" s="111"/>
      <c r="I14" s="111"/>
      <c r="J14" s="111"/>
      <c r="K14" s="111"/>
      <c r="O14" s="112"/>
      <c r="P14" s="112"/>
      <c r="Q14" s="112"/>
      <c r="R14" s="112"/>
      <c r="S14" s="112"/>
      <c r="T14" s="116"/>
    </row>
    <row r="15" spans="1:29" ht="15" customHeight="1">
      <c r="A15" s="111"/>
      <c r="B15" s="111" t="s">
        <v>237</v>
      </c>
      <c r="C15" s="111" t="s">
        <v>238</v>
      </c>
      <c r="D15" s="112" t="s">
        <v>239</v>
      </c>
      <c r="E15" s="111" t="s">
        <v>240</v>
      </c>
      <c r="F15" s="111"/>
      <c r="G15" s="111"/>
      <c r="H15" s="111"/>
      <c r="I15" s="111"/>
      <c r="J15" s="111"/>
      <c r="K15" s="111"/>
      <c r="O15" s="112"/>
      <c r="P15" s="112"/>
      <c r="Q15" s="112"/>
      <c r="R15" s="112"/>
      <c r="S15" s="112"/>
      <c r="T15" s="116"/>
    </row>
    <row r="16" spans="1:29" ht="15" customHeight="1">
      <c r="A16" s="111"/>
      <c r="B16" s="111" t="s">
        <v>241</v>
      </c>
      <c r="C16" s="111" t="s">
        <v>242</v>
      </c>
      <c r="D16" s="112" t="s">
        <v>243</v>
      </c>
      <c r="E16" s="111" t="s">
        <v>244</v>
      </c>
      <c r="F16" s="111"/>
      <c r="G16" s="111"/>
      <c r="H16" s="111"/>
      <c r="I16" s="111"/>
      <c r="J16" s="111"/>
      <c r="K16" s="111"/>
      <c r="O16" s="112" t="s">
        <v>153</v>
      </c>
      <c r="P16" s="112" t="s">
        <v>163</v>
      </c>
      <c r="Q16" s="113">
        <f>IFERROR(VLOOKUP($P16,'Master File - Rate Card'!$B:$G,6,0),"")</f>
        <v>120</v>
      </c>
      <c r="R16" s="113">
        <f ca="1">IFERROR(VLOOKUP($P16,'Master File - Rate Card'!$B:$K,10,0),"")</f>
        <v>32.202060931899638</v>
      </c>
      <c r="S16" s="112" t="s">
        <v>245</v>
      </c>
      <c r="T16" s="114">
        <f t="shared" ref="T16:T47" si="0">Q16</f>
        <v>120</v>
      </c>
      <c r="U16" s="115">
        <f t="shared" ref="U16:U47" ca="1" si="1">R16</f>
        <v>32.202060931899638</v>
      </c>
    </row>
    <row r="17" spans="1:21" ht="15" customHeight="1">
      <c r="A17" s="111"/>
      <c r="B17" s="111" t="s">
        <v>246</v>
      </c>
      <c r="C17" s="111" t="s">
        <v>247</v>
      </c>
      <c r="D17" s="112" t="s">
        <v>248</v>
      </c>
      <c r="E17" s="111" t="s">
        <v>249</v>
      </c>
      <c r="F17" s="111"/>
      <c r="G17" s="111"/>
      <c r="H17" s="111"/>
      <c r="I17" s="111"/>
      <c r="J17" s="111"/>
      <c r="K17" s="111"/>
      <c r="O17" s="112" t="s">
        <v>153</v>
      </c>
      <c r="P17" s="112" t="s">
        <v>172</v>
      </c>
      <c r="Q17" s="113">
        <f ca="1">IFERROR(VLOOKUP($P17,'Master File - Rate Card'!$B:$G,6,0),"")</f>
        <v>180</v>
      </c>
      <c r="R17" s="113">
        <f ca="1">IFERROR(VLOOKUP($P17,'Master File - Rate Card'!$B:$K,10,0),"")</f>
        <v>54.603494623655912</v>
      </c>
      <c r="S17" s="112" t="s">
        <v>250</v>
      </c>
      <c r="T17" s="114">
        <f t="shared" ca="1" si="0"/>
        <v>180</v>
      </c>
      <c r="U17" s="115">
        <f t="shared" ca="1" si="1"/>
        <v>54.603494623655912</v>
      </c>
    </row>
    <row r="18" spans="1:21" ht="15" customHeight="1">
      <c r="A18" s="111"/>
      <c r="B18" s="111" t="s">
        <v>251</v>
      </c>
      <c r="C18" s="111" t="s">
        <v>252</v>
      </c>
      <c r="D18" s="112" t="s">
        <v>253</v>
      </c>
      <c r="E18" s="111" t="s">
        <v>254</v>
      </c>
      <c r="F18" s="111"/>
      <c r="G18" s="111"/>
      <c r="H18" s="111"/>
      <c r="I18" s="111"/>
      <c r="J18" s="111"/>
      <c r="K18" s="111"/>
      <c r="O18" s="112" t="s">
        <v>153</v>
      </c>
      <c r="P18" s="112" t="s">
        <v>180</v>
      </c>
      <c r="Q18" s="113">
        <f>IFERROR(VLOOKUP($P18,'Master File - Rate Card'!$B:$G,6,0),"")</f>
        <v>126</v>
      </c>
      <c r="R18" s="113">
        <f>IFERROR(VLOOKUP($P18,'Master File - Rate Card'!$B:$K,10,0),"")</f>
        <v>21.001344086021504</v>
      </c>
      <c r="S18" s="112" t="s">
        <v>255</v>
      </c>
      <c r="T18" s="114">
        <f t="shared" si="0"/>
        <v>126</v>
      </c>
      <c r="U18" s="115">
        <f t="shared" si="1"/>
        <v>21.001344086021504</v>
      </c>
    </row>
    <row r="19" spans="1:21" ht="15" customHeight="1">
      <c r="A19" s="111"/>
      <c r="B19" s="111" t="s">
        <v>256</v>
      </c>
      <c r="C19" s="111" t="s">
        <v>257</v>
      </c>
      <c r="D19" s="112" t="s">
        <v>258</v>
      </c>
      <c r="E19" s="111" t="s">
        <v>259</v>
      </c>
      <c r="F19" s="111"/>
      <c r="G19" s="111"/>
      <c r="H19" s="111"/>
      <c r="I19" s="111"/>
      <c r="J19" s="111"/>
      <c r="K19" s="111"/>
      <c r="O19" s="112" t="s">
        <v>153</v>
      </c>
      <c r="P19" s="112" t="s">
        <v>188</v>
      </c>
      <c r="Q19" s="113">
        <f>IFERROR(VLOOKUP($P19,'Master File - Rate Card'!$B:$G,6,0),"")</f>
        <v>126</v>
      </c>
      <c r="R19" s="113">
        <f>IFERROR(VLOOKUP($P19,'Master File - Rate Card'!$B:$K,10,0),"")</f>
        <v>33.602150537634408</v>
      </c>
      <c r="S19" s="112" t="s">
        <v>260</v>
      </c>
      <c r="T19" s="114">
        <f t="shared" si="0"/>
        <v>126</v>
      </c>
      <c r="U19" s="115">
        <f t="shared" si="1"/>
        <v>33.602150537634408</v>
      </c>
    </row>
    <row r="20" spans="1:21" ht="15" customHeight="1">
      <c r="A20" s="111"/>
      <c r="B20" s="111"/>
      <c r="C20" s="111" t="s">
        <v>261</v>
      </c>
      <c r="D20" s="112" t="s">
        <v>262</v>
      </c>
      <c r="E20" s="111" t="s">
        <v>263</v>
      </c>
      <c r="F20" s="111"/>
      <c r="G20" s="111"/>
      <c r="H20" s="111"/>
      <c r="I20" s="111"/>
      <c r="J20" s="111"/>
      <c r="K20" s="111"/>
      <c r="O20" s="112" t="s">
        <v>153</v>
      </c>
      <c r="P20" s="112" t="s">
        <v>195</v>
      </c>
      <c r="Q20" s="113">
        <f>IFERROR(VLOOKUP($P20,'Master File - Rate Card'!$B:$G,6,0),"")</f>
        <v>126</v>
      </c>
      <c r="R20" s="113">
        <f>IFERROR(VLOOKUP($P20,'Master File - Rate Card'!$B:$K,10,0),"")</f>
        <v>46.202956989247312</v>
      </c>
      <c r="S20" s="112" t="s">
        <v>264</v>
      </c>
      <c r="T20" s="114">
        <f t="shared" si="0"/>
        <v>126</v>
      </c>
      <c r="U20" s="115">
        <f t="shared" si="1"/>
        <v>46.202956989247312</v>
      </c>
    </row>
    <row r="21" spans="1:21" ht="15" customHeight="1">
      <c r="A21" s="111"/>
      <c r="B21" s="111"/>
      <c r="C21" s="111" t="s">
        <v>265</v>
      </c>
      <c r="D21" s="112" t="s">
        <v>266</v>
      </c>
      <c r="E21" s="111"/>
      <c r="F21" s="111"/>
      <c r="G21" s="111"/>
      <c r="H21" s="111"/>
      <c r="I21" s="111"/>
      <c r="J21" s="111"/>
      <c r="K21" s="111"/>
      <c r="O21" s="112" t="s">
        <v>153</v>
      </c>
      <c r="P21" s="112" t="s">
        <v>200</v>
      </c>
      <c r="Q21" s="113">
        <f>IFERROR(VLOOKUP($P21,'Master File - Rate Card'!$B:$G,6,0),"")</f>
        <v>83.333333333333329</v>
      </c>
      <c r="R21" s="113">
        <f>IFERROR(VLOOKUP($P21,'Master File - Rate Card'!$B:$K,10,0),"")</f>
        <v>19.041218637992831</v>
      </c>
      <c r="S21" s="112" t="s">
        <v>267</v>
      </c>
      <c r="T21" s="114">
        <f t="shared" si="0"/>
        <v>83.333333333333329</v>
      </c>
      <c r="U21" s="115">
        <f t="shared" si="1"/>
        <v>19.041218637992831</v>
      </c>
    </row>
    <row r="22" spans="1:21" ht="15" customHeight="1">
      <c r="A22" s="111"/>
      <c r="B22" s="111"/>
      <c r="C22" s="111" t="s">
        <v>268</v>
      </c>
      <c r="D22" s="112" t="s">
        <v>269</v>
      </c>
      <c r="E22" s="111"/>
      <c r="F22" s="111"/>
      <c r="G22" s="111"/>
      <c r="H22" s="111"/>
      <c r="I22" s="111"/>
      <c r="J22" s="111"/>
      <c r="K22" s="111"/>
      <c r="O22" s="112" t="s">
        <v>153</v>
      </c>
      <c r="P22" s="112" t="s">
        <v>206</v>
      </c>
      <c r="Q22" s="113">
        <f>IFERROR(VLOOKUP($P22,'Master File - Rate Card'!$B:$G,6,0),"")</f>
        <v>98.958333333333329</v>
      </c>
      <c r="R22" s="113">
        <f>IFERROR(VLOOKUP($P22,'Master File - Rate Card'!$B:$K,10,0),"")</f>
        <v>22.961469534050178</v>
      </c>
      <c r="S22" s="112" t="s">
        <v>270</v>
      </c>
      <c r="T22" s="114">
        <f t="shared" si="0"/>
        <v>98.958333333333329</v>
      </c>
      <c r="U22" s="115">
        <f t="shared" si="1"/>
        <v>22.961469534050178</v>
      </c>
    </row>
    <row r="23" spans="1:21" ht="15" customHeight="1">
      <c r="A23" s="111"/>
      <c r="B23" s="111"/>
      <c r="C23" s="111" t="s">
        <v>271</v>
      </c>
      <c r="D23" s="112" t="s">
        <v>272</v>
      </c>
      <c r="E23" s="111"/>
      <c r="F23" s="111"/>
      <c r="G23" s="111"/>
      <c r="H23" s="111"/>
      <c r="I23" s="111"/>
      <c r="J23" s="111"/>
      <c r="K23" s="111"/>
      <c r="O23" s="112" t="s">
        <v>153</v>
      </c>
      <c r="P23" s="112" t="s">
        <v>212</v>
      </c>
      <c r="Q23" s="113">
        <f>IFERROR(VLOOKUP($P23,'Master File - Rate Card'!$B:$G,6,0),"")</f>
        <v>126</v>
      </c>
      <c r="R23" s="113">
        <f>IFERROR(VLOOKUP($P23,'Master File - Rate Card'!$B:$K,10,0),"")</f>
        <v>32.482078853046595</v>
      </c>
      <c r="S23" s="112" t="s">
        <v>273</v>
      </c>
      <c r="T23" s="114">
        <f t="shared" si="0"/>
        <v>126</v>
      </c>
      <c r="U23" s="115">
        <f t="shared" si="1"/>
        <v>32.482078853046595</v>
      </c>
    </row>
    <row r="24" spans="1:21" ht="15" customHeight="1">
      <c r="A24" s="111"/>
      <c r="B24" s="111"/>
      <c r="C24" s="111" t="s">
        <v>274</v>
      </c>
      <c r="D24" s="112" t="s">
        <v>275</v>
      </c>
      <c r="E24" s="111"/>
      <c r="F24" s="111"/>
      <c r="G24" s="111"/>
      <c r="H24" s="111"/>
      <c r="I24" s="111"/>
      <c r="J24" s="111"/>
      <c r="K24" s="111"/>
      <c r="O24" s="112" t="s">
        <v>153</v>
      </c>
      <c r="P24" s="112" t="s">
        <v>217</v>
      </c>
      <c r="Q24" s="113">
        <f>IFERROR(VLOOKUP($P24,'Master File - Rate Card'!$B:$G,6,0),"")</f>
        <v>98.958333333333329</v>
      </c>
      <c r="R24" s="113">
        <f>IFERROR(VLOOKUP($P24,'Master File - Rate Card'!$B:$K,10,0),"")</f>
        <v>23.521505376344088</v>
      </c>
      <c r="S24" s="112" t="s">
        <v>276</v>
      </c>
      <c r="T24" s="114">
        <f t="shared" si="0"/>
        <v>98.958333333333329</v>
      </c>
      <c r="U24" s="115">
        <f t="shared" si="1"/>
        <v>23.521505376344088</v>
      </c>
    </row>
    <row r="25" spans="1:21" ht="15" customHeight="1">
      <c r="A25" s="111"/>
      <c r="B25" s="111"/>
      <c r="C25" s="111" t="s">
        <v>277</v>
      </c>
      <c r="D25" s="111"/>
      <c r="E25" s="111"/>
      <c r="F25" s="111"/>
      <c r="G25" s="111"/>
      <c r="H25" s="111"/>
      <c r="I25" s="111"/>
      <c r="J25" s="111"/>
      <c r="K25" s="111"/>
      <c r="O25" s="112" t="s">
        <v>153</v>
      </c>
      <c r="P25" s="112" t="s">
        <v>223</v>
      </c>
      <c r="Q25" s="113">
        <f>IFERROR(VLOOKUP($P25,'Master File - Rate Card'!$B:$G,6,0),"")</f>
        <v>125</v>
      </c>
      <c r="R25" s="113">
        <f>IFERROR(VLOOKUP($P25,'Master File - Rate Card'!$B:$K,10,0),"")</f>
        <v>26.041666666666668</v>
      </c>
      <c r="S25" s="112" t="s">
        <v>278</v>
      </c>
      <c r="T25" s="114">
        <f t="shared" si="0"/>
        <v>125</v>
      </c>
      <c r="U25" s="115">
        <f t="shared" si="1"/>
        <v>26.041666666666668</v>
      </c>
    </row>
    <row r="26" spans="1:21" ht="15" customHeight="1">
      <c r="A26" s="111"/>
      <c r="B26" s="111"/>
      <c r="C26" s="111" t="s">
        <v>279</v>
      </c>
      <c r="D26" s="111"/>
      <c r="E26" s="111"/>
      <c r="F26" s="111"/>
      <c r="G26" s="111"/>
      <c r="H26" s="111"/>
      <c r="I26" s="111"/>
      <c r="J26" s="111"/>
      <c r="K26" s="111"/>
      <c r="O26" s="112" t="s">
        <v>153</v>
      </c>
      <c r="P26" s="112" t="s">
        <v>228</v>
      </c>
      <c r="Q26" s="113">
        <f>IFERROR(VLOOKUP($P26,'Master File - Rate Card'!$B:$G,6,0),"")</f>
        <v>152</v>
      </c>
      <c r="R26" s="113">
        <f>IFERROR(VLOOKUP($P26,'Master File - Rate Card'!$B:$K,10,0),"")</f>
        <v>34.162186379928315</v>
      </c>
      <c r="S26" s="112" t="s">
        <v>280</v>
      </c>
      <c r="T26" s="114">
        <f t="shared" si="0"/>
        <v>152</v>
      </c>
      <c r="U26" s="115">
        <f t="shared" si="1"/>
        <v>34.162186379928315</v>
      </c>
    </row>
    <row r="27" spans="1:21" ht="15" customHeight="1">
      <c r="A27" s="111"/>
      <c r="B27" s="111"/>
      <c r="C27" s="111" t="s">
        <v>281</v>
      </c>
      <c r="D27" s="111"/>
      <c r="E27" s="111"/>
      <c r="F27" s="111"/>
      <c r="G27" s="111"/>
      <c r="H27" s="111"/>
      <c r="I27" s="111"/>
      <c r="J27" s="111"/>
      <c r="K27" s="111"/>
      <c r="O27" s="112" t="s">
        <v>153</v>
      </c>
      <c r="P27" s="112" t="s">
        <v>233</v>
      </c>
      <c r="Q27" s="113">
        <f>IFERROR(VLOOKUP($P27,'Master File - Rate Card'!$B:$G,6,0),"")</f>
        <v>83.333333333333329</v>
      </c>
      <c r="R27" s="113">
        <f>IFERROR(VLOOKUP($P27,'Master File - Rate Card'!$B:$K,10,0),"")</f>
        <v>15.400985663082437</v>
      </c>
      <c r="S27" s="112" t="s">
        <v>282</v>
      </c>
      <c r="T27" s="114">
        <f t="shared" si="0"/>
        <v>83.333333333333329</v>
      </c>
      <c r="U27" s="115">
        <f t="shared" si="1"/>
        <v>15.400985663082437</v>
      </c>
    </row>
    <row r="28" spans="1:21" ht="15" customHeight="1">
      <c r="A28" s="111"/>
      <c r="B28" s="111"/>
      <c r="C28" s="111" t="s">
        <v>283</v>
      </c>
      <c r="D28" s="111"/>
      <c r="E28" s="111"/>
      <c r="F28" s="111"/>
      <c r="G28" s="111"/>
      <c r="H28" s="111"/>
      <c r="I28" s="111"/>
      <c r="J28" s="111"/>
      <c r="K28" s="111"/>
      <c r="O28" s="112" t="s">
        <v>153</v>
      </c>
      <c r="P28" s="112" t="s">
        <v>237</v>
      </c>
      <c r="Q28" s="113">
        <f>IFERROR(VLOOKUP($P28,'Master File - Rate Card'!$B:$G,6,0),"")</f>
        <v>98.958333333333329</v>
      </c>
      <c r="R28" s="113">
        <f>IFERROR(VLOOKUP($P28,'Master File - Rate Card'!$B:$K,10,0),"")</f>
        <v>22.401433691756274</v>
      </c>
      <c r="S28" s="112" t="s">
        <v>284</v>
      </c>
      <c r="T28" s="114">
        <f t="shared" si="0"/>
        <v>98.958333333333329</v>
      </c>
      <c r="U28" s="115">
        <f t="shared" si="1"/>
        <v>22.401433691756274</v>
      </c>
    </row>
    <row r="29" spans="1:21" ht="15" customHeight="1">
      <c r="A29" s="111"/>
      <c r="B29" s="111"/>
      <c r="C29" s="111" t="s">
        <v>285</v>
      </c>
      <c r="D29" s="111"/>
      <c r="E29" s="111"/>
      <c r="F29" s="111"/>
      <c r="G29" s="111"/>
      <c r="H29" s="111"/>
      <c r="I29" s="111"/>
      <c r="J29" s="111"/>
      <c r="K29" s="111"/>
      <c r="O29" s="112" t="s">
        <v>153</v>
      </c>
      <c r="P29" s="112" t="s">
        <v>241</v>
      </c>
      <c r="Q29" s="113">
        <f>IFERROR(VLOOKUP($P29,'Master File - Rate Card'!$B:$G,6,0),"")</f>
        <v>126</v>
      </c>
      <c r="R29" s="113">
        <f>IFERROR(VLOOKUP($P29,'Master File - Rate Card'!$B:$K,10,0),"")</f>
        <v>29.401881720430108</v>
      </c>
      <c r="S29" s="112" t="s">
        <v>286</v>
      </c>
      <c r="T29" s="114">
        <f t="shared" si="0"/>
        <v>126</v>
      </c>
      <c r="U29" s="115">
        <f t="shared" si="1"/>
        <v>29.401881720430108</v>
      </c>
    </row>
    <row r="30" spans="1:21" ht="15" customHeight="1">
      <c r="A30" s="111"/>
      <c r="B30" s="111"/>
      <c r="C30" s="111" t="s">
        <v>287</v>
      </c>
      <c r="D30" s="111"/>
      <c r="E30" s="111"/>
      <c r="F30" s="111"/>
      <c r="G30" s="111"/>
      <c r="H30" s="111"/>
      <c r="I30" s="111"/>
      <c r="J30" s="111"/>
      <c r="K30" s="111"/>
      <c r="O30" s="112" t="s">
        <v>153</v>
      </c>
      <c r="P30" s="112" t="s">
        <v>246</v>
      </c>
      <c r="Q30" s="113">
        <f>IFERROR(VLOOKUP($P30,'Master File - Rate Card'!$B:$G,6,0),"")</f>
        <v>83.333333333333329</v>
      </c>
      <c r="R30" s="113">
        <f>IFERROR(VLOOKUP($P30,'Master File - Rate Card'!$B:$K,10,0),"")</f>
        <v>29.401881720430108</v>
      </c>
      <c r="S30" s="112" t="s">
        <v>288</v>
      </c>
      <c r="T30" s="114">
        <f t="shared" si="0"/>
        <v>83.333333333333329</v>
      </c>
      <c r="U30" s="115">
        <f t="shared" si="1"/>
        <v>29.401881720430108</v>
      </c>
    </row>
    <row r="31" spans="1:21" ht="15" customHeight="1">
      <c r="A31" s="111"/>
      <c r="B31" s="111"/>
      <c r="C31" s="111" t="s">
        <v>289</v>
      </c>
      <c r="D31" s="111"/>
      <c r="E31" s="111"/>
      <c r="F31" s="111"/>
      <c r="G31" s="111"/>
      <c r="H31" s="111"/>
      <c r="I31" s="111"/>
      <c r="J31" s="111"/>
      <c r="K31" s="111"/>
      <c r="O31" s="112" t="s">
        <v>153</v>
      </c>
      <c r="P31" s="112" t="s">
        <v>251</v>
      </c>
      <c r="Q31" s="113">
        <f>IFERROR(VLOOKUP($P31,'Master File - Rate Card'!$B:$G,6,0),"")</f>
        <v>98.958333333333329</v>
      </c>
      <c r="R31" s="113">
        <f>IFERROR(VLOOKUP($P31,'Master File - Rate Card'!$B:$K,10,0),"")</f>
        <v>40.602598566308245</v>
      </c>
      <c r="S31" s="112" t="s">
        <v>290</v>
      </c>
      <c r="T31" s="114">
        <f t="shared" si="0"/>
        <v>98.958333333333329</v>
      </c>
      <c r="U31" s="115">
        <f t="shared" si="1"/>
        <v>40.602598566308245</v>
      </c>
    </row>
    <row r="32" spans="1:21" ht="15" customHeight="1">
      <c r="A32" s="111"/>
      <c r="B32" s="111"/>
      <c r="C32" s="111" t="s">
        <v>291</v>
      </c>
      <c r="D32" s="111"/>
      <c r="E32" s="111"/>
      <c r="F32" s="111"/>
      <c r="G32" s="111"/>
      <c r="H32" s="111"/>
      <c r="I32" s="111"/>
      <c r="J32" s="111"/>
      <c r="K32" s="111"/>
      <c r="O32" s="112" t="s">
        <v>153</v>
      </c>
      <c r="P32" s="112" t="s">
        <v>256</v>
      </c>
      <c r="Q32" s="113">
        <f>IFERROR(VLOOKUP($P32,'Master File - Rate Card'!$B:$G,6,0),"")</f>
        <v>126</v>
      </c>
      <c r="R32" s="113">
        <f>IFERROR(VLOOKUP($P32,'Master File - Rate Card'!$B:$K,10,0),"")</f>
        <v>54.603494623655912</v>
      </c>
      <c r="S32" s="112" t="s">
        <v>292</v>
      </c>
      <c r="T32" s="114">
        <f t="shared" si="0"/>
        <v>126</v>
      </c>
      <c r="U32" s="115">
        <f t="shared" si="1"/>
        <v>54.603494623655912</v>
      </c>
    </row>
    <row r="33" spans="1:21" ht="15" customHeight="1">
      <c r="A33" s="111"/>
      <c r="B33" s="111"/>
      <c r="C33" s="111" t="s">
        <v>293</v>
      </c>
      <c r="D33" s="111"/>
      <c r="E33" s="111"/>
      <c r="F33" s="111"/>
      <c r="G33" s="111"/>
      <c r="H33" s="111"/>
      <c r="I33" s="111"/>
      <c r="J33" s="111"/>
      <c r="K33" s="111"/>
      <c r="O33" s="112" t="s">
        <v>101</v>
      </c>
      <c r="P33" s="112" t="s">
        <v>155</v>
      </c>
      <c r="Q33" s="113">
        <f>IFERROR(VLOOKUP($P33,'Master File - Rate Card'!$B:$G,6,0),"")</f>
        <v>42.3359375</v>
      </c>
      <c r="R33" s="113">
        <f>IFERROR(VLOOKUP($P33,'Master File - Rate Card'!$B:$K,10,0),"")</f>
        <v>6.1603942652329744</v>
      </c>
      <c r="S33" s="112" t="s">
        <v>294</v>
      </c>
      <c r="T33" s="114">
        <f t="shared" si="0"/>
        <v>42.3359375</v>
      </c>
      <c r="U33" s="115">
        <f t="shared" si="1"/>
        <v>6.1603942652329744</v>
      </c>
    </row>
    <row r="34" spans="1:21" ht="15" customHeight="1">
      <c r="A34" s="111"/>
      <c r="B34" s="111"/>
      <c r="C34" s="111" t="s">
        <v>295</v>
      </c>
      <c r="D34" s="111"/>
      <c r="E34" s="111"/>
      <c r="F34" s="111"/>
      <c r="G34" s="111"/>
      <c r="H34" s="111"/>
      <c r="I34" s="111"/>
      <c r="J34" s="111"/>
      <c r="K34" s="111"/>
      <c r="O34" s="112" t="s">
        <v>101</v>
      </c>
      <c r="P34" s="112" t="s">
        <v>164</v>
      </c>
      <c r="Q34" s="113">
        <f>IFERROR(VLOOKUP($P34,'Master File - Rate Card'!$B:$G,6,0),"")</f>
        <v>52.919791666666669</v>
      </c>
      <c r="R34" s="113">
        <f>IFERROR(VLOOKUP($P34,'Master File - Rate Card'!$B:$K,10,0),"")</f>
        <v>9.5206093189964154</v>
      </c>
      <c r="S34" s="112" t="s">
        <v>296</v>
      </c>
      <c r="T34" s="114">
        <f t="shared" si="0"/>
        <v>52.919791666666669</v>
      </c>
      <c r="U34" s="115">
        <f t="shared" si="1"/>
        <v>9.5206093189964154</v>
      </c>
    </row>
    <row r="35" spans="1:21" ht="15" customHeight="1">
      <c r="A35" s="111"/>
      <c r="B35" s="111"/>
      <c r="C35" s="111" t="s">
        <v>297</v>
      </c>
      <c r="D35" s="111"/>
      <c r="E35" s="111"/>
      <c r="F35" s="111"/>
      <c r="G35" s="111"/>
      <c r="H35" s="111"/>
      <c r="I35" s="111"/>
      <c r="J35" s="111"/>
      <c r="K35" s="111"/>
      <c r="O35" s="112" t="s">
        <v>101</v>
      </c>
      <c r="P35" s="112" t="s">
        <v>173</v>
      </c>
      <c r="Q35" s="113">
        <f>IFERROR(VLOOKUP($P35,'Master File - Rate Card'!$B:$G,6,0),"")</f>
        <v>62</v>
      </c>
      <c r="R35" s="113">
        <f>IFERROR(VLOOKUP($P35,'Master File - Rate Card'!$B:$K,10,0),"")</f>
        <v>14.000896057347669</v>
      </c>
      <c r="S35" s="112" t="s">
        <v>298</v>
      </c>
      <c r="T35" s="114">
        <f t="shared" si="0"/>
        <v>62</v>
      </c>
      <c r="U35" s="115">
        <f t="shared" si="1"/>
        <v>14.000896057347669</v>
      </c>
    </row>
    <row r="36" spans="1:21" ht="15" customHeight="1">
      <c r="A36" s="111"/>
      <c r="B36" s="111"/>
      <c r="C36" s="111" t="s">
        <v>299</v>
      </c>
      <c r="D36" s="111"/>
      <c r="E36" s="111"/>
      <c r="F36" s="111"/>
      <c r="G36" s="111"/>
      <c r="H36" s="111"/>
      <c r="I36" s="111"/>
      <c r="J36" s="111"/>
      <c r="K36" s="111"/>
      <c r="O36" s="112" t="s">
        <v>101</v>
      </c>
      <c r="P36" s="112" t="s">
        <v>181</v>
      </c>
      <c r="Q36" s="113">
        <f>IFERROR(VLOOKUP($P36,'Master File - Rate Card'!$B:$G,6,0),"")</f>
        <v>89</v>
      </c>
      <c r="R36" s="113">
        <f>IFERROR(VLOOKUP($P36,'Master File - Rate Card'!$B:$K,10,0),"")</f>
        <v>21.841397849462364</v>
      </c>
      <c r="S36" s="112" t="s">
        <v>300</v>
      </c>
      <c r="T36" s="114">
        <f t="shared" si="0"/>
        <v>89</v>
      </c>
      <c r="U36" s="115">
        <f t="shared" si="1"/>
        <v>21.841397849462364</v>
      </c>
    </row>
    <row r="37" spans="1:21" ht="15" customHeight="1">
      <c r="A37" s="111"/>
      <c r="B37" s="111"/>
      <c r="C37" s="111" t="s">
        <v>301</v>
      </c>
      <c r="D37" s="111"/>
      <c r="E37" s="111"/>
      <c r="F37" s="111"/>
      <c r="G37" s="111"/>
      <c r="H37" s="111"/>
      <c r="I37" s="111"/>
      <c r="J37" s="111"/>
      <c r="K37" s="111"/>
      <c r="O37" s="112" t="s">
        <v>101</v>
      </c>
      <c r="P37" s="112" t="s">
        <v>189</v>
      </c>
      <c r="Q37" s="113">
        <f>IFERROR(VLOOKUP($P37,'Master File - Rate Card'!$B:$G,6,0),"")</f>
        <v>117</v>
      </c>
      <c r="R37" s="113">
        <f>IFERROR(VLOOKUP($P37,'Master File - Rate Card'!$B:$K,10,0),"")</f>
        <v>29.401881720430108</v>
      </c>
      <c r="S37" s="112" t="s">
        <v>302</v>
      </c>
      <c r="T37" s="114">
        <f t="shared" si="0"/>
        <v>117</v>
      </c>
      <c r="U37" s="115">
        <f t="shared" si="1"/>
        <v>29.401881720430108</v>
      </c>
    </row>
    <row r="38" spans="1:21" ht="15" customHeight="1">
      <c r="A38" s="111"/>
      <c r="B38" s="111"/>
      <c r="C38" s="111" t="s">
        <v>303</v>
      </c>
      <c r="D38" s="111"/>
      <c r="E38" s="111"/>
      <c r="F38" s="111"/>
      <c r="G38" s="111"/>
      <c r="H38" s="111"/>
      <c r="I38" s="111"/>
      <c r="J38" s="111"/>
      <c r="K38" s="111"/>
      <c r="O38" s="112" t="s">
        <v>101</v>
      </c>
      <c r="P38" s="112" t="s">
        <v>102</v>
      </c>
      <c r="Q38" s="113">
        <f>IFERROR(VLOOKUP($P38,'Master File - Rate Card'!$B:$G,6,0),"")</f>
        <v>42.3359375</v>
      </c>
      <c r="R38" s="113">
        <f>IFERROR(VLOOKUP($P38,'Master File - Rate Card'!$B:$K,10,0),"")</f>
        <v>7.2804659498207887</v>
      </c>
      <c r="S38" s="112" t="s">
        <v>304</v>
      </c>
      <c r="T38" s="114">
        <f t="shared" si="0"/>
        <v>42.3359375</v>
      </c>
      <c r="U38" s="115">
        <f t="shared" si="1"/>
        <v>7.2804659498207887</v>
      </c>
    </row>
    <row r="39" spans="1:21" ht="15" customHeight="1">
      <c r="A39" s="111"/>
      <c r="B39" s="111"/>
      <c r="C39" s="111" t="s">
        <v>305</v>
      </c>
      <c r="D39" s="111"/>
      <c r="E39" s="111"/>
      <c r="F39" s="111"/>
      <c r="G39" s="111"/>
      <c r="H39" s="111"/>
      <c r="L39" s="112"/>
      <c r="M39" s="112"/>
      <c r="N39" s="112"/>
      <c r="O39" s="112" t="str">
        <f ca="1">IFERROR(VLOOKUP($M39,'Master File - Rate Card'!$B:$K,10,0),"")</f>
        <v/>
      </c>
      <c r="P39" s="112" t="s">
        <v>306</v>
      </c>
      <c r="Q39" s="114" t="str">
        <f>IFERROR(VLOOKUP($P39,'Master File - Rate Card'!$B:$G,6,0),"")</f>
        <v/>
      </c>
      <c r="R39" s="115" t="str">
        <f>IFERROR(VLOOKUP($P39,'Master File - Rate Card'!$B:$K,10,0),"")</f>
        <v/>
      </c>
      <c r="T39" s="115" t="str">
        <f t="shared" si="0"/>
        <v/>
      </c>
      <c r="U39" s="115" t="str">
        <f t="shared" si="1"/>
        <v/>
      </c>
    </row>
    <row r="40" spans="1:21" ht="15" customHeight="1">
      <c r="A40" s="111"/>
      <c r="B40" s="111"/>
      <c r="C40" s="111" t="s">
        <v>307</v>
      </c>
      <c r="D40" s="111"/>
      <c r="E40" s="111"/>
      <c r="F40" s="111"/>
      <c r="G40" s="111"/>
      <c r="H40" s="111"/>
      <c r="L40" s="112"/>
      <c r="M40" s="112"/>
      <c r="N40" s="112"/>
      <c r="O40" s="112" t="str">
        <f ca="1">IFERROR(VLOOKUP($M40,'Master File - Rate Card'!$B:$K,10,0),"")</f>
        <v/>
      </c>
      <c r="P40" s="112" t="s">
        <v>308</v>
      </c>
      <c r="Q40" s="114" t="str">
        <f>IFERROR(VLOOKUP($P40,'Master File - Rate Card'!$B:$G,6,0),"")</f>
        <v/>
      </c>
      <c r="R40" s="115" t="str">
        <f>IFERROR(VLOOKUP($P40,'Master File - Rate Card'!$B:$K,10,0),"")</f>
        <v/>
      </c>
      <c r="T40" s="115" t="str">
        <f t="shared" si="0"/>
        <v/>
      </c>
      <c r="U40" s="115" t="str">
        <f t="shared" si="1"/>
        <v/>
      </c>
    </row>
    <row r="41" spans="1:21" ht="15" customHeight="1">
      <c r="A41" s="111"/>
      <c r="B41" s="111"/>
      <c r="C41" s="111" t="s">
        <v>309</v>
      </c>
      <c r="D41" s="111"/>
      <c r="E41" s="111"/>
      <c r="F41" s="111"/>
      <c r="G41" s="111"/>
      <c r="H41" s="111"/>
      <c r="L41" s="112"/>
      <c r="M41" s="112"/>
      <c r="N41" s="112"/>
      <c r="O41" s="112" t="str">
        <f ca="1">IFERROR(VLOOKUP($M41,'Master File - Rate Card'!$B:$K,10,0),"")</f>
        <v/>
      </c>
      <c r="P41" s="112" t="s">
        <v>310</v>
      </c>
      <c r="Q41" s="114" t="str">
        <f>IFERROR(VLOOKUP($P41,'Master File - Rate Card'!$B:$G,6,0),"")</f>
        <v/>
      </c>
      <c r="R41" s="115" t="str">
        <f>IFERROR(VLOOKUP($P41,'Master File - Rate Card'!$B:$K,10,0),"")</f>
        <v/>
      </c>
      <c r="T41" s="115" t="str">
        <f t="shared" si="0"/>
        <v/>
      </c>
      <c r="U41" s="115" t="str">
        <f t="shared" si="1"/>
        <v/>
      </c>
    </row>
    <row r="42" spans="1:21" ht="15" customHeight="1">
      <c r="A42" s="111"/>
      <c r="B42" s="111"/>
      <c r="C42" s="111" t="s">
        <v>311</v>
      </c>
      <c r="D42" s="111"/>
      <c r="E42" s="111"/>
      <c r="F42" s="111"/>
      <c r="G42" s="111"/>
      <c r="H42" s="111"/>
      <c r="L42" s="112"/>
      <c r="M42" s="112"/>
      <c r="N42" s="112"/>
      <c r="O42" s="112" t="str">
        <f ca="1">IFERROR(VLOOKUP($M42,'Master File - Rate Card'!$B:$K,10,0),"")</f>
        <v/>
      </c>
      <c r="P42" s="112" t="s">
        <v>312</v>
      </c>
      <c r="Q42" s="114" t="str">
        <f>IFERROR(VLOOKUP($P42,'Master File - Rate Card'!$B:$G,6,0),"")</f>
        <v/>
      </c>
      <c r="R42" s="115" t="str">
        <f>IFERROR(VLOOKUP($P42,'Master File - Rate Card'!$B:$K,10,0),"")</f>
        <v/>
      </c>
      <c r="T42" s="115" t="str">
        <f t="shared" si="0"/>
        <v/>
      </c>
      <c r="U42" s="115" t="str">
        <f t="shared" si="1"/>
        <v/>
      </c>
    </row>
    <row r="43" spans="1:21" ht="15" customHeight="1">
      <c r="A43" s="111"/>
      <c r="B43" s="111"/>
      <c r="C43" s="111" t="s">
        <v>313</v>
      </c>
      <c r="D43" s="111"/>
      <c r="E43" s="111"/>
      <c r="F43" s="111"/>
      <c r="H43" s="111"/>
      <c r="L43" s="112"/>
      <c r="M43" s="112"/>
      <c r="N43" s="112"/>
      <c r="O43" s="112" t="str">
        <f ca="1">IFERROR(VLOOKUP($M43,'Master File - Rate Card'!$B:$K,10,0),"")</f>
        <v/>
      </c>
      <c r="P43" s="112" t="s">
        <v>314</v>
      </c>
      <c r="Q43" s="114" t="str">
        <f>IFERROR(VLOOKUP($P43,'Master File - Rate Card'!$B:$G,6,0),"")</f>
        <v/>
      </c>
      <c r="R43" s="115" t="str">
        <f>IFERROR(VLOOKUP($P43,'Master File - Rate Card'!$B:$K,10,0),"")</f>
        <v/>
      </c>
      <c r="T43" s="115" t="str">
        <f t="shared" si="0"/>
        <v/>
      </c>
      <c r="U43" s="115" t="str">
        <f t="shared" si="1"/>
        <v/>
      </c>
    </row>
    <row r="44" spans="1:21" ht="15" customHeight="1">
      <c r="A44" s="111"/>
      <c r="B44" s="111"/>
      <c r="C44" s="111" t="s">
        <v>315</v>
      </c>
      <c r="D44" s="111"/>
      <c r="E44" s="111"/>
      <c r="F44" s="111"/>
      <c r="H44" s="111"/>
      <c r="L44" s="112"/>
      <c r="M44" s="112"/>
      <c r="N44" s="112"/>
      <c r="O44" s="112" t="str">
        <f ca="1">IFERROR(VLOOKUP($M44,'Master File - Rate Card'!$B:$K,10,0),"")</f>
        <v/>
      </c>
      <c r="P44" s="112" t="s">
        <v>316</v>
      </c>
      <c r="Q44" s="114" t="str">
        <f>IFERROR(VLOOKUP($P44,'Master File - Rate Card'!$B:$G,6,0),"")</f>
        <v/>
      </c>
      <c r="R44" s="115" t="str">
        <f>IFERROR(VLOOKUP($P44,'Master File - Rate Card'!$B:$K,10,0),"")</f>
        <v/>
      </c>
      <c r="T44" s="115" t="str">
        <f t="shared" si="0"/>
        <v/>
      </c>
      <c r="U44" s="115" t="str">
        <f t="shared" si="1"/>
        <v/>
      </c>
    </row>
    <row r="45" spans="1:21" ht="15" customHeight="1">
      <c r="A45" s="111"/>
      <c r="B45" s="111"/>
      <c r="C45" s="111" t="s">
        <v>317</v>
      </c>
      <c r="D45" s="111"/>
      <c r="E45" s="111"/>
      <c r="F45" s="111"/>
      <c r="H45" s="111"/>
      <c r="L45" s="112"/>
      <c r="M45" s="112"/>
      <c r="N45" s="112"/>
      <c r="O45" s="112" t="str">
        <f ca="1">IFERROR(VLOOKUP($M45,'Master File - Rate Card'!$B:$K,10,0),"")</f>
        <v/>
      </c>
      <c r="P45" s="112" t="s">
        <v>318</v>
      </c>
      <c r="Q45" s="114" t="str">
        <f>IFERROR(VLOOKUP($P45,'Master File - Rate Card'!$B:$G,6,0),"")</f>
        <v/>
      </c>
      <c r="R45" s="115" t="str">
        <f>IFERROR(VLOOKUP($P45,'Master File - Rate Card'!$B:$K,10,0),"")</f>
        <v/>
      </c>
      <c r="T45" s="115" t="str">
        <f t="shared" si="0"/>
        <v/>
      </c>
      <c r="U45" s="115" t="str">
        <f t="shared" si="1"/>
        <v/>
      </c>
    </row>
    <row r="46" spans="1:21" ht="15" customHeight="1">
      <c r="A46" s="111"/>
      <c r="B46" s="111"/>
      <c r="C46" s="111" t="s">
        <v>319</v>
      </c>
      <c r="D46" s="111"/>
      <c r="E46" s="111"/>
      <c r="F46" s="111"/>
      <c r="H46" s="111"/>
      <c r="I46" s="111"/>
      <c r="J46" s="111"/>
      <c r="K46" s="111"/>
      <c r="O46" s="112" t="s">
        <v>101</v>
      </c>
      <c r="P46" s="112" t="s">
        <v>238</v>
      </c>
      <c r="Q46" s="113">
        <f>IFERROR(VLOOKUP($P46,'Master File - Rate Card'!$B:$G,6,0),"")</f>
        <v>103</v>
      </c>
      <c r="R46" s="113">
        <f>IFERROR(VLOOKUP($P46,'Master File - Rate Card'!$B:$K,10,0),"")</f>
        <v>17.361111111111111</v>
      </c>
      <c r="S46" s="112" t="s">
        <v>320</v>
      </c>
      <c r="T46" s="114">
        <f t="shared" si="0"/>
        <v>103</v>
      </c>
      <c r="U46" s="115">
        <f t="shared" si="1"/>
        <v>17.361111111111111</v>
      </c>
    </row>
    <row r="47" spans="1:21" ht="15" customHeight="1">
      <c r="A47" s="111"/>
      <c r="B47" s="111"/>
      <c r="C47" s="111" t="s">
        <v>321</v>
      </c>
      <c r="D47" s="111"/>
      <c r="E47" s="111"/>
      <c r="F47" s="111"/>
      <c r="H47" s="111"/>
      <c r="I47" s="111"/>
      <c r="J47" s="111"/>
      <c r="K47" s="111"/>
      <c r="O47" s="112" t="s">
        <v>101</v>
      </c>
      <c r="P47" s="112" t="s">
        <v>242</v>
      </c>
      <c r="Q47" s="113">
        <f>IFERROR(VLOOKUP($P47,'Master File - Rate Card'!$B:$G,6,0),"")</f>
        <v>131</v>
      </c>
      <c r="R47" s="113">
        <f>IFERROR(VLOOKUP($P47,'Master File - Rate Card'!$B:$K,10,0),"")</f>
        <v>25.761648745519715</v>
      </c>
      <c r="S47" s="112" t="s">
        <v>322</v>
      </c>
      <c r="T47" s="114">
        <f t="shared" si="0"/>
        <v>131</v>
      </c>
      <c r="U47" s="115">
        <f t="shared" si="1"/>
        <v>25.761648745519715</v>
      </c>
    </row>
    <row r="48" spans="1:21" ht="15" customHeight="1">
      <c r="A48" s="111"/>
      <c r="B48" s="111"/>
      <c r="C48" s="111" t="s">
        <v>323</v>
      </c>
      <c r="D48" s="111"/>
      <c r="E48" s="111"/>
      <c r="F48" s="111"/>
      <c r="H48" s="111"/>
      <c r="I48" s="111"/>
      <c r="J48" s="111"/>
      <c r="K48" s="111"/>
      <c r="O48" s="112" t="s">
        <v>101</v>
      </c>
      <c r="P48" s="112" t="s">
        <v>247</v>
      </c>
      <c r="Q48" s="113">
        <f>IFERROR(VLOOKUP($P48,'Master File - Rate Card'!$B:$G,6,0),"")</f>
        <v>34.776041666666664</v>
      </c>
      <c r="R48" s="113">
        <f>IFERROR(VLOOKUP($P48,'Master File - Rate Card'!$B:$K,10,0),"")</f>
        <v>5.040322580645161</v>
      </c>
      <c r="S48" s="112" t="s">
        <v>324</v>
      </c>
      <c r="T48" s="114">
        <f t="shared" ref="T48:T79" si="2">Q48</f>
        <v>34.776041666666664</v>
      </c>
      <c r="U48" s="115">
        <f t="shared" ref="U48:U79" si="3">R48</f>
        <v>5.040322580645161</v>
      </c>
    </row>
    <row r="49" spans="1:21" ht="15" customHeight="1">
      <c r="A49" s="111"/>
      <c r="B49" s="111"/>
      <c r="C49" s="111" t="s">
        <v>325</v>
      </c>
      <c r="D49" s="111"/>
      <c r="E49" s="111"/>
      <c r="F49" s="111"/>
      <c r="H49" s="111"/>
      <c r="I49" s="111"/>
      <c r="J49" s="111"/>
      <c r="K49" s="111"/>
      <c r="O49" s="112" t="s">
        <v>101</v>
      </c>
      <c r="P49" s="112" t="s">
        <v>252</v>
      </c>
      <c r="Q49" s="113">
        <f>IFERROR(VLOOKUP($P49,'Master File - Rate Card'!$B:$G,6,0),"")</f>
        <v>48.014583333333334</v>
      </c>
      <c r="R49" s="113">
        <f>IFERROR(VLOOKUP($P49,'Master File - Rate Card'!$B:$K,10,0),"")</f>
        <v>8.6805555555555554</v>
      </c>
      <c r="S49" s="112" t="s">
        <v>326</v>
      </c>
      <c r="T49" s="114">
        <f t="shared" si="2"/>
        <v>48.014583333333334</v>
      </c>
      <c r="U49" s="115">
        <f t="shared" si="3"/>
        <v>8.6805555555555554</v>
      </c>
    </row>
    <row r="50" spans="1:21" ht="15" customHeight="1">
      <c r="A50" s="111"/>
      <c r="B50" s="111"/>
      <c r="C50" s="111" t="s">
        <v>327</v>
      </c>
      <c r="D50" s="111"/>
      <c r="E50" s="111"/>
      <c r="F50" s="111"/>
      <c r="H50" s="111"/>
      <c r="I50" s="111"/>
      <c r="J50" s="111"/>
      <c r="K50" s="111"/>
      <c r="O50" s="112" t="s">
        <v>101</v>
      </c>
      <c r="P50" s="112" t="s">
        <v>257</v>
      </c>
      <c r="Q50" s="113">
        <f>IFERROR(VLOOKUP($P50,'Master File - Rate Card'!$B:$G,6,0),"")</f>
        <v>62.6875</v>
      </c>
      <c r="R50" s="113">
        <f>IFERROR(VLOOKUP($P50,'Master File - Rate Card'!$B:$K,10,0),"")</f>
        <v>12.600806451612904</v>
      </c>
      <c r="S50" s="112" t="s">
        <v>328</v>
      </c>
      <c r="T50" s="114">
        <f t="shared" si="2"/>
        <v>62.6875</v>
      </c>
      <c r="U50" s="115">
        <f t="shared" si="3"/>
        <v>12.600806451612904</v>
      </c>
    </row>
    <row r="51" spans="1:21" ht="15" customHeight="1">
      <c r="A51" s="111"/>
      <c r="B51" s="111"/>
      <c r="C51" s="111" t="s">
        <v>329</v>
      </c>
      <c r="D51" s="111"/>
      <c r="E51" s="111"/>
      <c r="F51" s="111"/>
      <c r="H51" s="111"/>
      <c r="I51" s="111"/>
      <c r="J51" s="111"/>
      <c r="K51" s="111"/>
      <c r="O51" s="112" t="s">
        <v>101</v>
      </c>
      <c r="P51" s="112" t="s">
        <v>261</v>
      </c>
      <c r="Q51" s="113">
        <f>IFERROR(VLOOKUP($P51,'Master File - Rate Card'!$B:$G,6,0),"")</f>
        <v>75.854166666666671</v>
      </c>
      <c r="R51" s="113">
        <f>IFERROR(VLOOKUP($P51,'Master File - Rate Card'!$B:$K,10,0),"")</f>
        <v>20.161290322580644</v>
      </c>
      <c r="S51" s="112" t="s">
        <v>330</v>
      </c>
      <c r="T51" s="114">
        <f t="shared" si="2"/>
        <v>75.854166666666671</v>
      </c>
      <c r="U51" s="115">
        <f t="shared" si="3"/>
        <v>20.161290322580644</v>
      </c>
    </row>
    <row r="52" spans="1:21" ht="15" customHeight="1">
      <c r="A52" s="111"/>
      <c r="B52" s="111"/>
      <c r="C52" s="111" t="s">
        <v>331</v>
      </c>
      <c r="D52" s="111"/>
      <c r="E52" s="111"/>
      <c r="F52" s="111"/>
      <c r="H52" s="111"/>
      <c r="I52" s="111"/>
      <c r="J52" s="111"/>
      <c r="K52" s="111"/>
      <c r="O52" s="112" t="s">
        <v>101</v>
      </c>
      <c r="P52" s="112" t="s">
        <v>265</v>
      </c>
      <c r="Q52" s="113">
        <f>IFERROR(VLOOKUP($P52,'Master File - Rate Card'!$B:$G,6,0),"")</f>
        <v>89.020833333333329</v>
      </c>
      <c r="R52" s="113">
        <f>IFERROR(VLOOKUP($P52,'Master File - Rate Card'!$B:$K,10,0),"")</f>
        <v>24.641577060931898</v>
      </c>
      <c r="S52" s="112" t="s">
        <v>332</v>
      </c>
      <c r="T52" s="114">
        <f t="shared" si="2"/>
        <v>89.020833333333329</v>
      </c>
      <c r="U52" s="115">
        <f t="shared" si="3"/>
        <v>24.641577060931898</v>
      </c>
    </row>
    <row r="53" spans="1:21" ht="15" customHeight="1">
      <c r="A53" s="111"/>
      <c r="B53" s="111"/>
      <c r="C53" s="111" t="s">
        <v>333</v>
      </c>
      <c r="D53" s="111"/>
      <c r="E53" s="111"/>
      <c r="F53" s="111"/>
      <c r="H53" s="111"/>
      <c r="I53" s="111"/>
      <c r="J53" s="111"/>
      <c r="K53" s="111"/>
      <c r="O53" s="112" t="s">
        <v>101</v>
      </c>
      <c r="P53" s="112" t="s">
        <v>268</v>
      </c>
      <c r="Q53" s="113">
        <f>IFERROR(VLOOKUP($P53,'Master File - Rate Card'!$B:$G,6,0),"")</f>
        <v>45.359895833333333</v>
      </c>
      <c r="R53" s="113">
        <f>IFERROR(VLOOKUP($P53,'Master File - Rate Card'!$B:$K,10,0),"")</f>
        <v>5.6003584229390686</v>
      </c>
      <c r="S53" s="112" t="s">
        <v>334</v>
      </c>
      <c r="T53" s="114">
        <f t="shared" si="2"/>
        <v>45.359895833333333</v>
      </c>
      <c r="U53" s="115">
        <f t="shared" si="3"/>
        <v>5.6003584229390686</v>
      </c>
    </row>
    <row r="54" spans="1:21" ht="15" customHeight="1">
      <c r="A54" s="111"/>
      <c r="B54" s="111"/>
      <c r="C54" s="111" t="s">
        <v>335</v>
      </c>
      <c r="D54" s="111"/>
      <c r="E54" s="111"/>
      <c r="F54" s="111"/>
      <c r="H54" s="111"/>
      <c r="I54" s="111"/>
      <c r="J54" s="111"/>
      <c r="K54" s="111"/>
      <c r="O54" s="112" t="s">
        <v>101</v>
      </c>
      <c r="P54" s="112" t="s">
        <v>271</v>
      </c>
      <c r="Q54" s="113">
        <f>IFERROR(VLOOKUP($P54,'Master File - Rate Card'!$B:$G,6,0),"")</f>
        <v>57.456249999999997</v>
      </c>
      <c r="R54" s="113">
        <f>IFERROR(VLOOKUP($P54,'Master File - Rate Card'!$B:$K,10,0),"")</f>
        <v>8.9605734767025087</v>
      </c>
      <c r="S54" s="112" t="s">
        <v>336</v>
      </c>
      <c r="T54" s="114">
        <f t="shared" si="2"/>
        <v>57.456249999999997</v>
      </c>
      <c r="U54" s="115">
        <f t="shared" si="3"/>
        <v>8.9605734767025087</v>
      </c>
    </row>
    <row r="55" spans="1:21" ht="15" customHeight="1">
      <c r="A55" s="111"/>
      <c r="B55" s="111"/>
      <c r="C55" s="111" t="s">
        <v>337</v>
      </c>
      <c r="D55" s="111"/>
      <c r="E55" s="111"/>
      <c r="F55" s="111"/>
      <c r="H55" s="111"/>
      <c r="I55" s="111"/>
      <c r="J55" s="111"/>
      <c r="K55" s="111"/>
      <c r="O55" s="112" t="s">
        <v>101</v>
      </c>
      <c r="P55" s="112" t="s">
        <v>274</v>
      </c>
      <c r="Q55" s="113">
        <f>IFERROR(VLOOKUP($P55,'Master File - Rate Card'!$B:$G,6,0),"")</f>
        <v>82</v>
      </c>
      <c r="R55" s="113">
        <f>IFERROR(VLOOKUP($P55,'Master File - Rate Card'!$B:$K,10,0),"")</f>
        <v>13.440860215053764</v>
      </c>
      <c r="S55" s="112" t="s">
        <v>338</v>
      </c>
      <c r="T55" s="114">
        <f t="shared" si="2"/>
        <v>82</v>
      </c>
      <c r="U55" s="115">
        <f t="shared" si="3"/>
        <v>13.440860215053764</v>
      </c>
    </row>
    <row r="56" spans="1:21" ht="15" customHeight="1">
      <c r="A56" s="111"/>
      <c r="B56" s="111"/>
      <c r="C56" s="111" t="s">
        <v>339</v>
      </c>
      <c r="D56" s="111"/>
      <c r="E56" s="111"/>
      <c r="F56" s="111"/>
      <c r="H56" s="111"/>
      <c r="I56" s="111"/>
      <c r="J56" s="111"/>
      <c r="K56" s="111"/>
      <c r="O56" s="112" t="s">
        <v>101</v>
      </c>
      <c r="P56" s="112" t="s">
        <v>277</v>
      </c>
      <c r="Q56" s="113">
        <f>IFERROR(VLOOKUP($P56,'Master File - Rate Card'!$B:$G,6,0),"")</f>
        <v>113</v>
      </c>
      <c r="R56" s="113">
        <f>IFERROR(VLOOKUP($P56,'Master File - Rate Card'!$B:$K,10,0),"")</f>
        <v>15.961021505376344</v>
      </c>
      <c r="S56" s="112" t="s">
        <v>340</v>
      </c>
      <c r="T56" s="114">
        <f t="shared" si="2"/>
        <v>113</v>
      </c>
      <c r="U56" s="115">
        <f t="shared" si="3"/>
        <v>15.961021505376344</v>
      </c>
    </row>
    <row r="57" spans="1:21" ht="15" customHeight="1">
      <c r="A57" s="111"/>
      <c r="B57" s="111"/>
      <c r="C57" s="111" t="s">
        <v>341</v>
      </c>
      <c r="D57" s="111"/>
      <c r="E57" s="111"/>
      <c r="F57" s="111"/>
      <c r="H57" s="111"/>
      <c r="I57" s="111"/>
      <c r="J57" s="111"/>
      <c r="K57" s="111"/>
      <c r="O57" s="112" t="s">
        <v>101</v>
      </c>
      <c r="P57" s="112" t="s">
        <v>279</v>
      </c>
      <c r="Q57" s="113">
        <f>IFERROR(VLOOKUP($P57,'Master File - Rate Card'!$B:$G,6,0),"")</f>
        <v>144</v>
      </c>
      <c r="R57" s="113">
        <f>IFERROR(VLOOKUP($P57,'Master File - Rate Card'!$B:$K,10,0),"")</f>
        <v>18.761200716845877</v>
      </c>
      <c r="S57" s="112" t="s">
        <v>342</v>
      </c>
      <c r="T57" s="114">
        <f t="shared" si="2"/>
        <v>144</v>
      </c>
      <c r="U57" s="115">
        <f t="shared" si="3"/>
        <v>18.761200716845877</v>
      </c>
    </row>
    <row r="58" spans="1:21" ht="15" customHeight="1">
      <c r="A58" s="111"/>
      <c r="B58" s="111"/>
      <c r="C58" s="111" t="s">
        <v>343</v>
      </c>
      <c r="D58" s="111"/>
      <c r="E58" s="111"/>
      <c r="F58" s="111"/>
      <c r="H58" s="111"/>
      <c r="I58" s="111"/>
      <c r="J58" s="111"/>
      <c r="K58" s="111"/>
      <c r="O58" s="112" t="s">
        <v>101</v>
      </c>
      <c r="P58" s="112" t="s">
        <v>281</v>
      </c>
      <c r="Q58" s="113">
        <f>IFERROR(VLOOKUP($P58,'Master File - Rate Card'!$B:$G,6,0),"")</f>
        <v>34.775999999999996</v>
      </c>
      <c r="R58" s="113">
        <f>IFERROR(VLOOKUP($P58,'Master File - Rate Card'!$B:$K,10,0),"")</f>
        <v>4.7603046594982077</v>
      </c>
      <c r="S58" s="112" t="s">
        <v>344</v>
      </c>
      <c r="T58" s="114">
        <f t="shared" si="2"/>
        <v>34.775999999999996</v>
      </c>
      <c r="U58" s="115">
        <f t="shared" si="3"/>
        <v>4.7603046594982077</v>
      </c>
    </row>
    <row r="59" spans="1:21" ht="15" customHeight="1">
      <c r="A59" s="111"/>
      <c r="B59" s="111"/>
      <c r="C59" s="111" t="s">
        <v>345</v>
      </c>
      <c r="D59" s="111"/>
      <c r="E59" s="111"/>
      <c r="F59" s="111"/>
      <c r="H59" s="111"/>
      <c r="I59" s="111"/>
      <c r="J59" s="111"/>
      <c r="K59" s="111"/>
      <c r="O59" s="112" t="s">
        <v>101</v>
      </c>
      <c r="P59" s="112" t="s">
        <v>283</v>
      </c>
      <c r="Q59" s="113">
        <f>IFERROR(VLOOKUP($P59,'Master File - Rate Card'!$B:$G,6,0),"")</f>
        <v>48.384</v>
      </c>
      <c r="R59" s="113">
        <f>IFERROR(VLOOKUP($P59,'Master File - Rate Card'!$B:$K,10,0),"")</f>
        <v>8.400537634408602</v>
      </c>
      <c r="S59" s="112" t="s">
        <v>346</v>
      </c>
      <c r="T59" s="114">
        <f t="shared" si="2"/>
        <v>48.384</v>
      </c>
      <c r="U59" s="115">
        <f t="shared" si="3"/>
        <v>8.400537634408602</v>
      </c>
    </row>
    <row r="60" spans="1:21" ht="15" customHeight="1">
      <c r="A60" s="111"/>
      <c r="B60" s="111"/>
      <c r="C60" s="111" t="s">
        <v>347</v>
      </c>
      <c r="D60" s="111"/>
      <c r="E60" s="111"/>
      <c r="F60" s="111"/>
      <c r="H60" s="111"/>
      <c r="I60" s="111"/>
      <c r="J60" s="111"/>
      <c r="K60" s="111"/>
      <c r="O60" s="112" t="s">
        <v>101</v>
      </c>
      <c r="P60" s="112" t="s">
        <v>285</v>
      </c>
      <c r="Q60" s="113">
        <f>IFERROR(VLOOKUP($P60,'Master File - Rate Card'!$B:$G,6,0),"")</f>
        <v>60.480000000000004</v>
      </c>
      <c r="R60" s="113">
        <f>IFERROR(VLOOKUP($P60,'Master File - Rate Card'!$B:$K,10,0),"")</f>
        <v>13.440860215053764</v>
      </c>
      <c r="S60" s="112" t="s">
        <v>348</v>
      </c>
      <c r="T60" s="114">
        <f t="shared" si="2"/>
        <v>60.480000000000004</v>
      </c>
      <c r="U60" s="115">
        <f t="shared" si="3"/>
        <v>13.440860215053764</v>
      </c>
    </row>
    <row r="61" spans="1:21" ht="15" customHeight="1">
      <c r="A61" s="111"/>
      <c r="B61" s="111"/>
      <c r="C61" s="111" t="s">
        <v>349</v>
      </c>
      <c r="D61" s="111"/>
      <c r="E61" s="111"/>
      <c r="F61" s="111"/>
      <c r="H61" s="111"/>
      <c r="I61" s="111"/>
      <c r="J61" s="111"/>
      <c r="K61" s="111"/>
      <c r="O61" s="112" t="s">
        <v>101</v>
      </c>
      <c r="P61" s="112" t="s">
        <v>287</v>
      </c>
      <c r="Q61" s="113">
        <f>IFERROR(VLOOKUP($P61,'Master File - Rate Card'!$B:$G,6,0),"")</f>
        <v>110</v>
      </c>
      <c r="R61" s="113">
        <f>IFERROR(VLOOKUP($P61,'Master File - Rate Card'!$B:$K,10,0),"")</f>
        <v>21.281362007168461</v>
      </c>
      <c r="S61" s="112" t="s">
        <v>350</v>
      </c>
      <c r="T61" s="114">
        <f t="shared" si="2"/>
        <v>110</v>
      </c>
      <c r="U61" s="115">
        <f t="shared" si="3"/>
        <v>21.281362007168461</v>
      </c>
    </row>
    <row r="62" spans="1:21" ht="15" customHeight="1">
      <c r="A62" s="111"/>
      <c r="B62" s="111"/>
      <c r="C62" s="111" t="s">
        <v>351</v>
      </c>
      <c r="D62" s="111"/>
      <c r="E62" s="111"/>
      <c r="F62" s="111"/>
      <c r="H62" s="111"/>
      <c r="I62" s="111"/>
      <c r="J62" s="111"/>
      <c r="K62" s="111"/>
      <c r="O62" s="112" t="s">
        <v>101</v>
      </c>
      <c r="P62" s="112" t="s">
        <v>289</v>
      </c>
      <c r="Q62" s="113">
        <f>IFERROR(VLOOKUP($P62,'Master File - Rate Card'!$B:$G,6,0),"")</f>
        <v>34.775999999999996</v>
      </c>
      <c r="R62" s="113">
        <f>IFERROR(VLOOKUP($P62,'Master File - Rate Card'!$B:$K,10,0),"")</f>
        <v>24.641577060931898</v>
      </c>
      <c r="S62" s="112" t="s">
        <v>352</v>
      </c>
      <c r="T62" s="114">
        <f t="shared" si="2"/>
        <v>34.775999999999996</v>
      </c>
      <c r="U62" s="115">
        <f t="shared" si="3"/>
        <v>24.641577060931898</v>
      </c>
    </row>
    <row r="63" spans="1:21" ht="15" customHeight="1">
      <c r="A63" s="111"/>
      <c r="B63" s="111"/>
      <c r="C63" s="111" t="s">
        <v>353</v>
      </c>
      <c r="D63" s="111"/>
      <c r="E63" s="111"/>
      <c r="F63" s="111"/>
      <c r="H63" s="111"/>
      <c r="I63" s="111"/>
      <c r="J63" s="111"/>
      <c r="K63" s="111"/>
      <c r="O63" s="112" t="s">
        <v>101</v>
      </c>
      <c r="P63" s="112" t="s">
        <v>291</v>
      </c>
      <c r="Q63" s="113">
        <f>IFERROR(VLOOKUP($P63,'Master File - Rate Card'!$B:$G,6,0),"")</f>
        <v>48.384</v>
      </c>
      <c r="R63" s="113">
        <f>IFERROR(VLOOKUP($P63,'Master File - Rate Card'!$B:$K,10,0),"")</f>
        <v>8.400537634408602</v>
      </c>
      <c r="S63" s="112" t="s">
        <v>354</v>
      </c>
      <c r="T63" s="114">
        <f t="shared" si="2"/>
        <v>48.384</v>
      </c>
      <c r="U63" s="115">
        <f t="shared" si="3"/>
        <v>8.400537634408602</v>
      </c>
    </row>
    <row r="64" spans="1:21" ht="15" customHeight="1">
      <c r="A64" s="111"/>
      <c r="B64" s="111"/>
      <c r="C64" s="111" t="s">
        <v>355</v>
      </c>
      <c r="E64" s="111"/>
      <c r="F64" s="111"/>
      <c r="H64" s="111"/>
      <c r="I64" s="111"/>
      <c r="J64" s="111"/>
      <c r="K64" s="111"/>
      <c r="O64" s="112" t="s">
        <v>101</v>
      </c>
      <c r="P64" s="112" t="s">
        <v>293</v>
      </c>
      <c r="Q64" s="113">
        <f>IFERROR(VLOOKUP($P64,'Master File - Rate Card'!$B:$G,6,0),"")</f>
        <v>58</v>
      </c>
      <c r="R64" s="113">
        <f>IFERROR(VLOOKUP($P64,'Master File - Rate Card'!$B:$K,10,0),"")</f>
        <v>13.440860215053764</v>
      </c>
      <c r="S64" s="112" t="s">
        <v>356</v>
      </c>
      <c r="T64" s="114">
        <f t="shared" si="2"/>
        <v>58</v>
      </c>
      <c r="U64" s="115">
        <f t="shared" si="3"/>
        <v>13.440860215053764</v>
      </c>
    </row>
    <row r="65" spans="1:21" ht="15" customHeight="1">
      <c r="A65" s="111"/>
      <c r="B65" s="111"/>
      <c r="C65" s="111" t="s">
        <v>357</v>
      </c>
      <c r="E65" s="111"/>
      <c r="F65" s="111"/>
      <c r="H65" s="111"/>
      <c r="I65" s="111"/>
      <c r="J65" s="111"/>
      <c r="K65" s="111"/>
      <c r="O65" s="112" t="s">
        <v>101</v>
      </c>
      <c r="P65" s="112" t="s">
        <v>295</v>
      </c>
      <c r="Q65" s="113">
        <f>IFERROR(VLOOKUP($P65,'Master File - Rate Card'!$B:$G,6,0),"")</f>
        <v>77</v>
      </c>
      <c r="R65" s="113">
        <f>IFERROR(VLOOKUP($P65,'Master File - Rate Card'!$B:$K,10,0),"")</f>
        <v>21.281362007168461</v>
      </c>
      <c r="S65" s="112" t="s">
        <v>358</v>
      </c>
      <c r="T65" s="114">
        <f t="shared" si="2"/>
        <v>77</v>
      </c>
      <c r="U65" s="115">
        <f t="shared" si="3"/>
        <v>21.281362007168461</v>
      </c>
    </row>
    <row r="66" spans="1:21" ht="15" customHeight="1">
      <c r="A66" s="111"/>
      <c r="B66" s="111"/>
      <c r="C66" s="111" t="s">
        <v>359</v>
      </c>
      <c r="E66" s="111"/>
      <c r="F66" s="111"/>
      <c r="H66" s="111"/>
      <c r="I66" s="111"/>
      <c r="J66" s="111"/>
      <c r="K66" s="111"/>
      <c r="O66" s="112" t="s">
        <v>101</v>
      </c>
      <c r="P66" s="112" t="s">
        <v>297</v>
      </c>
      <c r="Q66" s="113">
        <f>IFERROR(VLOOKUP($P66,'Master File - Rate Card'!$B:$G,6,0),"")</f>
        <v>95</v>
      </c>
      <c r="R66" s="113">
        <f>IFERROR(VLOOKUP($P66,'Master File - Rate Card'!$B:$K,10,0),"")</f>
        <v>24.641577060931898</v>
      </c>
      <c r="S66" s="112" t="s">
        <v>360</v>
      </c>
      <c r="T66" s="114">
        <f t="shared" si="2"/>
        <v>95</v>
      </c>
      <c r="U66" s="115">
        <f t="shared" si="3"/>
        <v>24.641577060931898</v>
      </c>
    </row>
    <row r="67" spans="1:21" ht="15" customHeight="1">
      <c r="A67" s="111"/>
      <c r="B67" s="111"/>
      <c r="C67" s="111" t="s">
        <v>361</v>
      </c>
      <c r="E67" s="111"/>
      <c r="F67" s="111"/>
      <c r="H67" s="111"/>
      <c r="I67" s="111"/>
      <c r="J67" s="111"/>
      <c r="K67" s="111"/>
      <c r="O67" s="112" t="s">
        <v>101</v>
      </c>
      <c r="P67" s="112" t="s">
        <v>299</v>
      </c>
      <c r="Q67" s="113">
        <f>IFERROR(VLOOKUP($P67,'Master File - Rate Card'!$B:$G,6,0),"")</f>
        <v>34.776041666666664</v>
      </c>
      <c r="R67" s="113">
        <f>IFERROR(VLOOKUP($P67,'Master File - Rate Card'!$B:$K,10,0),"")</f>
        <v>4.200268817204301</v>
      </c>
      <c r="S67" s="112" t="s">
        <v>362</v>
      </c>
      <c r="T67" s="114">
        <f t="shared" si="2"/>
        <v>34.776041666666664</v>
      </c>
      <c r="U67" s="115">
        <f t="shared" si="3"/>
        <v>4.200268817204301</v>
      </c>
    </row>
    <row r="68" spans="1:21" ht="15" customHeight="1">
      <c r="A68" s="111"/>
      <c r="B68" s="111"/>
      <c r="C68" s="111" t="s">
        <v>363</v>
      </c>
      <c r="E68" s="111"/>
      <c r="F68" s="111"/>
      <c r="H68" s="111"/>
      <c r="I68" s="111"/>
      <c r="J68" s="111"/>
      <c r="K68" s="111"/>
      <c r="O68" s="112" t="s">
        <v>101</v>
      </c>
      <c r="P68" s="112" t="s">
        <v>301</v>
      </c>
      <c r="Q68" s="113">
        <f>IFERROR(VLOOKUP($P68,'Master File - Rate Card'!$B:$G,6,0),"")</f>
        <v>48.383854166666666</v>
      </c>
      <c r="R68" s="113">
        <f>IFERROR(VLOOKUP($P68,'Master File - Rate Card'!$B:$K,10,0),"")</f>
        <v>5.3203405017921153</v>
      </c>
      <c r="S68" s="112" t="s">
        <v>364</v>
      </c>
      <c r="T68" s="114">
        <f t="shared" si="2"/>
        <v>48.383854166666666</v>
      </c>
      <c r="U68" s="115">
        <f t="shared" si="3"/>
        <v>5.3203405017921153</v>
      </c>
    </row>
    <row r="69" spans="1:21" ht="15" customHeight="1">
      <c r="B69" s="111"/>
      <c r="C69" s="111" t="s">
        <v>365</v>
      </c>
      <c r="E69" s="111"/>
      <c r="F69" s="111"/>
      <c r="H69" s="111"/>
      <c r="I69" s="111"/>
      <c r="J69" s="111"/>
      <c r="K69" s="111"/>
      <c r="O69" s="112" t="s">
        <v>101</v>
      </c>
      <c r="P69" s="112" t="s">
        <v>303</v>
      </c>
      <c r="Q69" s="113">
        <f>IFERROR(VLOOKUP($P69,'Master File - Rate Card'!$B:$G,6,0),"")</f>
        <v>66</v>
      </c>
      <c r="R69" s="113">
        <f>IFERROR(VLOOKUP($P69,'Master File - Rate Card'!$B:$K,10,0),"")</f>
        <v>8.400537634408602</v>
      </c>
      <c r="S69" s="112" t="s">
        <v>366</v>
      </c>
      <c r="T69" s="114">
        <f t="shared" si="2"/>
        <v>66</v>
      </c>
      <c r="U69" s="115">
        <f t="shared" si="3"/>
        <v>8.400537634408602</v>
      </c>
    </row>
    <row r="70" spans="1:21" ht="15" customHeight="1">
      <c r="B70" s="111"/>
      <c r="C70" s="111" t="s">
        <v>367</v>
      </c>
      <c r="E70" s="111"/>
      <c r="F70" s="111"/>
      <c r="H70" s="111"/>
      <c r="I70" s="111"/>
      <c r="J70" s="111"/>
      <c r="K70" s="111"/>
      <c r="O70" s="112" t="s">
        <v>101</v>
      </c>
      <c r="P70" s="112" t="s">
        <v>305</v>
      </c>
      <c r="Q70" s="113">
        <f>IFERROR(VLOOKUP($P70,'Master File - Rate Card'!$B:$G,6,0),"")</f>
        <v>77</v>
      </c>
      <c r="R70" s="113">
        <f>IFERROR(VLOOKUP($P70,'Master File - Rate Card'!$B:$K,10,0),"")</f>
        <v>12.600806451612904</v>
      </c>
      <c r="S70" s="112" t="s">
        <v>368</v>
      </c>
      <c r="T70" s="114">
        <f t="shared" si="2"/>
        <v>77</v>
      </c>
      <c r="U70" s="115">
        <f t="shared" si="3"/>
        <v>12.600806451612904</v>
      </c>
    </row>
    <row r="71" spans="1:21" ht="15" customHeight="1">
      <c r="B71" s="111"/>
      <c r="C71" s="111" t="s">
        <v>369</v>
      </c>
      <c r="E71" s="111"/>
      <c r="H71" s="111"/>
      <c r="I71" s="111"/>
      <c r="J71" s="111"/>
      <c r="K71" s="111"/>
      <c r="O71" s="112" t="s">
        <v>101</v>
      </c>
      <c r="P71" s="112" t="s">
        <v>307</v>
      </c>
      <c r="Q71" s="113">
        <f>IFERROR(VLOOKUP($P71,'Master File - Rate Card'!$B:$G,6,0),"")</f>
        <v>87</v>
      </c>
      <c r="R71" s="113">
        <f>IFERROR(VLOOKUP($P71,'Master File - Rate Card'!$B:$K,10,0),"")</f>
        <v>22.401433691756274</v>
      </c>
      <c r="S71" s="112" t="s">
        <v>370</v>
      </c>
      <c r="T71" s="114">
        <f t="shared" si="2"/>
        <v>87</v>
      </c>
      <c r="U71" s="115">
        <f t="shared" si="3"/>
        <v>22.401433691756274</v>
      </c>
    </row>
    <row r="72" spans="1:21" ht="15" customHeight="1">
      <c r="B72" s="111"/>
      <c r="C72" s="111" t="s">
        <v>371</v>
      </c>
      <c r="E72" s="111"/>
      <c r="H72" s="111"/>
      <c r="I72" s="111"/>
      <c r="J72" s="111"/>
      <c r="K72" s="111"/>
      <c r="O72" s="112" t="s">
        <v>101</v>
      </c>
      <c r="P72" s="112" t="s">
        <v>309</v>
      </c>
      <c r="Q72" s="113">
        <f>IFERROR(VLOOKUP($P72,'Master File - Rate Card'!$B:$G,6,0),"")</f>
        <v>42.3359375</v>
      </c>
      <c r="R72" s="113">
        <f>IFERROR(VLOOKUP($P72,'Master File - Rate Card'!$B:$K,10,0),"")</f>
        <v>6.1603942652329744</v>
      </c>
      <c r="S72" s="112" t="s">
        <v>372</v>
      </c>
      <c r="T72" s="114">
        <f t="shared" si="2"/>
        <v>42.3359375</v>
      </c>
      <c r="U72" s="115">
        <f t="shared" si="3"/>
        <v>6.1603942652329744</v>
      </c>
    </row>
    <row r="73" spans="1:21" ht="15" customHeight="1">
      <c r="B73" s="111"/>
      <c r="C73" s="111" t="s">
        <v>373</v>
      </c>
      <c r="E73" s="111"/>
      <c r="H73" s="111"/>
      <c r="I73" s="111"/>
      <c r="J73" s="111"/>
      <c r="K73" s="111"/>
      <c r="O73" s="112" t="s">
        <v>101</v>
      </c>
      <c r="P73" s="112" t="s">
        <v>311</v>
      </c>
      <c r="Q73" s="113">
        <f>IFERROR(VLOOKUP($P73,'Master File - Rate Card'!$B:$G,6,0),"")</f>
        <v>52.919791666666669</v>
      </c>
      <c r="R73" s="113">
        <f>IFERROR(VLOOKUP($P73,'Master File - Rate Card'!$B:$K,10,0),"")</f>
        <v>9.5206093189964154</v>
      </c>
      <c r="S73" s="112" t="s">
        <v>374</v>
      </c>
      <c r="T73" s="114">
        <f t="shared" si="2"/>
        <v>52.919791666666669</v>
      </c>
      <c r="U73" s="115">
        <f t="shared" si="3"/>
        <v>9.5206093189964154</v>
      </c>
    </row>
    <row r="74" spans="1:21" ht="15" customHeight="1">
      <c r="B74" s="111"/>
      <c r="C74" s="111" t="s">
        <v>375</v>
      </c>
      <c r="E74" s="111"/>
      <c r="H74" s="111"/>
      <c r="I74" s="111"/>
      <c r="J74" s="111"/>
      <c r="K74" s="111"/>
      <c r="O74" s="112" t="s">
        <v>101</v>
      </c>
      <c r="P74" s="112" t="s">
        <v>313</v>
      </c>
      <c r="Q74" s="113">
        <f>IFERROR(VLOOKUP($P74,'Master File - Rate Card'!$B:$G,6,0),"")</f>
        <v>75</v>
      </c>
      <c r="R74" s="113">
        <f>IFERROR(VLOOKUP($P74,'Master File - Rate Card'!$B:$K,10,0),"")</f>
        <v>14.000896057347669</v>
      </c>
      <c r="S74" s="112" t="s">
        <v>376</v>
      </c>
      <c r="T74" s="114">
        <f t="shared" si="2"/>
        <v>75</v>
      </c>
      <c r="U74" s="115">
        <f t="shared" si="3"/>
        <v>14.000896057347669</v>
      </c>
    </row>
    <row r="75" spans="1:21" ht="15" customHeight="1">
      <c r="B75" s="111"/>
      <c r="C75" s="111" t="s">
        <v>377</v>
      </c>
      <c r="E75" s="111"/>
      <c r="H75" s="111"/>
      <c r="I75" s="111"/>
      <c r="J75" s="111"/>
      <c r="K75" s="111"/>
      <c r="O75" s="112" t="s">
        <v>101</v>
      </c>
      <c r="P75" s="112" t="s">
        <v>315</v>
      </c>
      <c r="Q75" s="113">
        <f>IFERROR(VLOOKUP($P75,'Master File - Rate Card'!$B:$G,6,0),"")</f>
        <v>103</v>
      </c>
      <c r="R75" s="113">
        <f>IFERROR(VLOOKUP($P75,'Master File - Rate Card'!$B:$K,10,0),"")</f>
        <v>21.841397849462364</v>
      </c>
      <c r="S75" s="112" t="s">
        <v>378</v>
      </c>
      <c r="T75" s="114">
        <f t="shared" si="2"/>
        <v>103</v>
      </c>
      <c r="U75" s="115">
        <f t="shared" si="3"/>
        <v>21.841397849462364</v>
      </c>
    </row>
    <row r="76" spans="1:21" ht="15" customHeight="1">
      <c r="B76" s="111"/>
      <c r="C76" s="111" t="s">
        <v>379</v>
      </c>
      <c r="E76" s="111"/>
      <c r="H76" s="111"/>
      <c r="I76" s="111"/>
      <c r="J76" s="111"/>
      <c r="K76" s="111"/>
      <c r="O76" s="112" t="s">
        <v>101</v>
      </c>
      <c r="P76" s="112" t="s">
        <v>317</v>
      </c>
      <c r="Q76" s="113">
        <f>IFERROR(VLOOKUP($P76,'Master File - Rate Card'!$B:$G,6,0),"")</f>
        <v>131</v>
      </c>
      <c r="R76" s="113">
        <f>IFERROR(VLOOKUP($P76,'Master File - Rate Card'!$B:$K,10,0),"")</f>
        <v>29.401881720430108</v>
      </c>
      <c r="S76" s="112" t="s">
        <v>380</v>
      </c>
      <c r="T76" s="114">
        <f t="shared" si="2"/>
        <v>131</v>
      </c>
      <c r="U76" s="115">
        <f t="shared" si="3"/>
        <v>29.401881720430108</v>
      </c>
    </row>
    <row r="77" spans="1:21" ht="15" customHeight="1">
      <c r="B77" s="111"/>
      <c r="C77" s="111" t="s">
        <v>381</v>
      </c>
      <c r="E77" s="111"/>
      <c r="I77" s="111"/>
      <c r="J77" s="111"/>
      <c r="K77" s="111"/>
      <c r="O77" s="112" t="s">
        <v>101</v>
      </c>
      <c r="P77" s="112" t="s">
        <v>319</v>
      </c>
      <c r="Q77" s="113">
        <f>IFERROR(VLOOKUP($P77,'Master File - Rate Card'!$B:$G,6,0),"")</f>
        <v>42.335999999999999</v>
      </c>
      <c r="R77" s="113">
        <f ca="1">IFERROR(VLOOKUP($P77,'Master File - Rate Card'!$B:$K,10,0),"")</f>
        <v>7.2804659498207887</v>
      </c>
      <c r="S77" s="112" t="s">
        <v>382</v>
      </c>
      <c r="T77" s="114">
        <f t="shared" si="2"/>
        <v>42.335999999999999</v>
      </c>
      <c r="U77" s="115">
        <f t="shared" ca="1" si="3"/>
        <v>7.2804659498207887</v>
      </c>
    </row>
    <row r="78" spans="1:21" ht="15" customHeight="1">
      <c r="B78" s="111"/>
      <c r="C78" s="111" t="s">
        <v>383</v>
      </c>
      <c r="E78" s="111"/>
      <c r="I78" s="111"/>
      <c r="J78" s="111"/>
      <c r="K78" s="111"/>
      <c r="O78" s="112" t="s">
        <v>101</v>
      </c>
      <c r="P78" s="112" t="s">
        <v>321</v>
      </c>
      <c r="Q78" s="113">
        <f>IFERROR(VLOOKUP($P78,'Master File - Rate Card'!$B:$G,6,0),"")</f>
        <v>52.919999999999995</v>
      </c>
      <c r="R78" s="113">
        <f>IFERROR(VLOOKUP($P78,'Master File - Rate Card'!$B:$K,10,0),"")</f>
        <v>9.5206093189964154</v>
      </c>
      <c r="S78" s="112" t="s">
        <v>384</v>
      </c>
      <c r="T78" s="114">
        <f t="shared" si="2"/>
        <v>52.919999999999995</v>
      </c>
      <c r="U78" s="115">
        <f t="shared" si="3"/>
        <v>9.5206093189964154</v>
      </c>
    </row>
    <row r="79" spans="1:21" ht="15" customHeight="1">
      <c r="B79" s="111"/>
      <c r="C79" s="111" t="s">
        <v>385</v>
      </c>
      <c r="E79" s="111"/>
      <c r="I79" s="111"/>
      <c r="J79" s="111"/>
      <c r="K79" s="111"/>
      <c r="O79" s="112" t="s">
        <v>101</v>
      </c>
      <c r="P79" s="112" t="s">
        <v>323</v>
      </c>
      <c r="Q79" s="113">
        <f>IFERROR(VLOOKUP($P79,'Master File - Rate Card'!$B:$G,6,0),"")</f>
        <v>58.967999999999996</v>
      </c>
      <c r="R79" s="113">
        <f>IFERROR(VLOOKUP($P79,'Master File - Rate Card'!$B:$K,10,0),"")</f>
        <v>14.560931899641577</v>
      </c>
      <c r="S79" s="112" t="s">
        <v>386</v>
      </c>
      <c r="T79" s="114">
        <f t="shared" si="2"/>
        <v>58.967999999999996</v>
      </c>
      <c r="U79" s="115">
        <f t="shared" si="3"/>
        <v>14.560931899641577</v>
      </c>
    </row>
    <row r="80" spans="1:21" ht="15" customHeight="1">
      <c r="B80" s="111"/>
      <c r="C80" s="111" t="s">
        <v>387</v>
      </c>
      <c r="E80" s="111"/>
      <c r="I80" s="111"/>
      <c r="J80" s="111"/>
      <c r="K80" s="111"/>
      <c r="O80" s="112" t="s">
        <v>101</v>
      </c>
      <c r="P80" s="112" t="s">
        <v>325</v>
      </c>
      <c r="Q80" s="113">
        <f>IFERROR(VLOOKUP($P80,'Master File - Rate Card'!$B:$G,6,0),"")</f>
        <v>65.016000000000005</v>
      </c>
      <c r="R80" s="113">
        <f>IFERROR(VLOOKUP($P80,'Master File - Rate Card'!$B:$K,10,0),"")</f>
        <v>22.961469534050178</v>
      </c>
      <c r="S80" s="112" t="s">
        <v>388</v>
      </c>
      <c r="T80" s="114">
        <f t="shared" ref="T80:T111" si="4">Q80</f>
        <v>65.016000000000005</v>
      </c>
      <c r="U80" s="115">
        <f t="shared" ref="U80:U111" si="5">R80</f>
        <v>22.961469534050178</v>
      </c>
    </row>
    <row r="81" spans="2:21" ht="15" customHeight="1">
      <c r="B81" s="111"/>
      <c r="C81" s="111" t="s">
        <v>389</v>
      </c>
      <c r="I81" s="111"/>
      <c r="J81" s="111"/>
      <c r="K81" s="111"/>
      <c r="O81" s="112" t="s">
        <v>101</v>
      </c>
      <c r="P81" s="112" t="s">
        <v>327</v>
      </c>
      <c r="Q81" s="113">
        <f>IFERROR(VLOOKUP($P81,'Master File - Rate Card'!$B:$G,6,0),"")</f>
        <v>71.064000000000007</v>
      </c>
      <c r="R81" s="113">
        <f>IFERROR(VLOOKUP($P81,'Master File - Rate Card'!$B:$K,10,0),"")</f>
        <v>31.362007168458781</v>
      </c>
      <c r="S81" s="112" t="s">
        <v>390</v>
      </c>
      <c r="T81" s="114">
        <f t="shared" si="4"/>
        <v>71.064000000000007</v>
      </c>
      <c r="U81" s="115">
        <f t="shared" si="5"/>
        <v>31.362007168458781</v>
      </c>
    </row>
    <row r="82" spans="2:21" ht="15" customHeight="1">
      <c r="B82" s="111"/>
      <c r="C82" s="111" t="s">
        <v>391</v>
      </c>
      <c r="I82" s="111"/>
      <c r="J82" s="111"/>
      <c r="K82" s="111"/>
      <c r="O82" s="112" t="s">
        <v>101</v>
      </c>
      <c r="P82" s="112" t="s">
        <v>329</v>
      </c>
      <c r="Q82" s="113">
        <f>IFERROR(VLOOKUP($P82,'Master File - Rate Card'!$B:$G,6,0),"")</f>
        <v>42.335999999999999</v>
      </c>
      <c r="R82" s="113">
        <f>IFERROR(VLOOKUP($P82,'Master File - Rate Card'!$B:$K,10,0),"")</f>
        <v>6.1603942652329744</v>
      </c>
      <c r="S82" s="112" t="s">
        <v>392</v>
      </c>
      <c r="T82" s="114">
        <f t="shared" si="4"/>
        <v>42.335999999999999</v>
      </c>
      <c r="U82" s="115">
        <f t="shared" si="5"/>
        <v>6.1603942652329744</v>
      </c>
    </row>
    <row r="83" spans="2:21" ht="15" customHeight="1">
      <c r="B83" s="111"/>
      <c r="I83" s="111"/>
      <c r="J83" s="111"/>
      <c r="K83" s="111"/>
      <c r="O83" s="112" t="s">
        <v>101</v>
      </c>
      <c r="P83" s="112" t="s">
        <v>331</v>
      </c>
      <c r="Q83" s="113">
        <f>IFERROR(VLOOKUP($P83,'Master File - Rate Card'!$B:$G,6,0),"")</f>
        <v>52.919999999999995</v>
      </c>
      <c r="R83" s="113">
        <f>IFERROR(VLOOKUP($P83,'Master File - Rate Card'!$B:$K,10,0),"")</f>
        <v>9.5206093189964154</v>
      </c>
      <c r="S83" s="112" t="s">
        <v>393</v>
      </c>
      <c r="T83" s="114">
        <f t="shared" si="4"/>
        <v>52.919999999999995</v>
      </c>
      <c r="U83" s="115">
        <f t="shared" si="5"/>
        <v>9.5206093189964154</v>
      </c>
    </row>
    <row r="84" spans="2:21" ht="15" customHeight="1">
      <c r="B84" s="111"/>
      <c r="I84" s="111"/>
      <c r="J84" s="111"/>
      <c r="K84" s="111"/>
      <c r="O84" s="112" t="s">
        <v>101</v>
      </c>
      <c r="P84" s="112" t="s">
        <v>333</v>
      </c>
      <c r="Q84" s="113">
        <f>IFERROR(VLOOKUP($P84,'Master File - Rate Card'!$B:$G,6,0),"")</f>
        <v>58.967999999999996</v>
      </c>
      <c r="R84" s="113">
        <f>IFERROR(VLOOKUP($P84,'Master File - Rate Card'!$B:$K,10,0),"")</f>
        <v>14.000896057347669</v>
      </c>
      <c r="S84" s="112" t="s">
        <v>394</v>
      </c>
      <c r="T84" s="114">
        <f t="shared" si="4"/>
        <v>58.967999999999996</v>
      </c>
      <c r="U84" s="115">
        <f t="shared" si="5"/>
        <v>14.000896057347669</v>
      </c>
    </row>
    <row r="85" spans="2:21" ht="15" customHeight="1">
      <c r="B85" s="111"/>
      <c r="I85" s="111"/>
      <c r="J85" s="111"/>
      <c r="K85" s="111"/>
      <c r="O85" s="112" t="s">
        <v>101</v>
      </c>
      <c r="P85" s="112" t="s">
        <v>335</v>
      </c>
      <c r="Q85" s="113">
        <f>IFERROR(VLOOKUP($P85,'Master File - Rate Card'!$B:$G,6,0),"")</f>
        <v>65.016000000000005</v>
      </c>
      <c r="R85" s="113">
        <f>IFERROR(VLOOKUP($P85,'Master File - Rate Card'!$B:$K,10,0),"")</f>
        <v>21.841397849462364</v>
      </c>
      <c r="S85" s="112" t="s">
        <v>395</v>
      </c>
      <c r="T85" s="114">
        <f t="shared" si="4"/>
        <v>65.016000000000005</v>
      </c>
      <c r="U85" s="115">
        <f t="shared" si="5"/>
        <v>21.841397849462364</v>
      </c>
    </row>
    <row r="86" spans="2:21" ht="15" customHeight="1">
      <c r="B86" s="111"/>
      <c r="I86" s="111"/>
      <c r="J86" s="111"/>
      <c r="K86" s="111"/>
      <c r="O86" s="112" t="s">
        <v>101</v>
      </c>
      <c r="P86" s="112" t="s">
        <v>337</v>
      </c>
      <c r="Q86" s="113">
        <f>IFERROR(VLOOKUP($P86,'Master File - Rate Card'!$B:$G,6,0),"")</f>
        <v>34.775999999999996</v>
      </c>
      <c r="R86" s="113">
        <f>IFERROR(VLOOKUP($P86,'Master File - Rate Card'!$B:$K,10,0),"")</f>
        <v>6.720430107526882</v>
      </c>
      <c r="S86" s="112" t="s">
        <v>396</v>
      </c>
      <c r="T86" s="114">
        <f t="shared" si="4"/>
        <v>34.775999999999996</v>
      </c>
      <c r="U86" s="115">
        <f t="shared" si="5"/>
        <v>6.720430107526882</v>
      </c>
    </row>
    <row r="87" spans="2:21" ht="15" customHeight="1">
      <c r="B87" s="111"/>
      <c r="I87" s="111"/>
      <c r="J87" s="111"/>
      <c r="K87" s="111"/>
      <c r="O87" s="112" t="s">
        <v>101</v>
      </c>
      <c r="P87" s="112" t="s">
        <v>339</v>
      </c>
      <c r="Q87" s="113">
        <f>IFERROR(VLOOKUP($P87,'Master File - Rate Card'!$B:$G,6,0),"")</f>
        <v>52.919999999999995</v>
      </c>
      <c r="R87" s="113">
        <f>IFERROR(VLOOKUP($P87,'Master File - Rate Card'!$B:$K,10,0),"")</f>
        <v>10.640681003584231</v>
      </c>
      <c r="S87" s="112" t="s">
        <v>397</v>
      </c>
      <c r="T87" s="114">
        <f t="shared" si="4"/>
        <v>52.919999999999995</v>
      </c>
      <c r="U87" s="115">
        <f t="shared" si="5"/>
        <v>10.640681003584231</v>
      </c>
    </row>
    <row r="88" spans="2:21" ht="15" customHeight="1">
      <c r="B88" s="111"/>
      <c r="I88" s="111"/>
      <c r="J88" s="111"/>
      <c r="K88" s="111"/>
      <c r="O88" s="112" t="s">
        <v>101</v>
      </c>
      <c r="P88" s="112" t="s">
        <v>341</v>
      </c>
      <c r="Q88" s="113">
        <f>IFERROR(VLOOKUP($P88,'Master File - Rate Card'!$B:$G,6,0),"")</f>
        <v>60.480000000000004</v>
      </c>
      <c r="R88" s="113">
        <f>IFERROR(VLOOKUP($P88,'Master File - Rate Card'!$B:$K,10,0),"")</f>
        <v>14.560931899641577</v>
      </c>
      <c r="S88" s="112" t="s">
        <v>398</v>
      </c>
      <c r="T88" s="114">
        <f t="shared" si="4"/>
        <v>60.480000000000004</v>
      </c>
      <c r="U88" s="115">
        <f t="shared" si="5"/>
        <v>14.560931899641577</v>
      </c>
    </row>
    <row r="89" spans="2:21" ht="15" customHeight="1">
      <c r="B89" s="111"/>
      <c r="I89" s="111"/>
      <c r="J89" s="111"/>
      <c r="K89" s="111"/>
      <c r="O89" s="112" t="s">
        <v>101</v>
      </c>
      <c r="P89" s="112" t="s">
        <v>343</v>
      </c>
      <c r="Q89" s="113">
        <f>IFERROR(VLOOKUP($P89,'Master File - Rate Card'!$B:$G,6,0),"")</f>
        <v>74.087999999999994</v>
      </c>
      <c r="R89" s="113">
        <f ca="1">IFERROR(VLOOKUP($P89,'Master File - Rate Card'!$B:$K,10,0),"")</f>
        <v>21.841397849462364</v>
      </c>
      <c r="S89" s="112" t="s">
        <v>399</v>
      </c>
      <c r="T89" s="114">
        <f t="shared" si="4"/>
        <v>74.087999999999994</v>
      </c>
      <c r="U89" s="115">
        <f t="shared" ca="1" si="5"/>
        <v>21.841397849462364</v>
      </c>
    </row>
    <row r="90" spans="2:21" ht="15" customHeight="1">
      <c r="B90" s="111"/>
      <c r="I90" s="111"/>
      <c r="J90" s="111"/>
      <c r="K90" s="111"/>
      <c r="O90" s="112" t="s">
        <v>101</v>
      </c>
      <c r="P90" s="112" t="s">
        <v>345</v>
      </c>
      <c r="Q90" s="113">
        <f>IFERROR(VLOOKUP($P90,'Master File - Rate Card'!$B:$G,6,0),"")</f>
        <v>60.480000000000004</v>
      </c>
      <c r="R90" s="113">
        <f>IFERROR(VLOOKUP($P90,'Master File - Rate Card'!$B:$K,10,0),"")</f>
        <v>14.560931899641577</v>
      </c>
      <c r="S90" s="112" t="s">
        <v>400</v>
      </c>
      <c r="T90" s="114">
        <f t="shared" si="4"/>
        <v>60.480000000000004</v>
      </c>
      <c r="U90" s="115">
        <f t="shared" si="5"/>
        <v>14.560931899641577</v>
      </c>
    </row>
    <row r="91" spans="2:21" ht="15" customHeight="1">
      <c r="B91" s="111"/>
      <c r="I91" s="111"/>
      <c r="J91" s="111"/>
      <c r="K91" s="111"/>
      <c r="O91" s="112" t="s">
        <v>101</v>
      </c>
      <c r="P91" s="112" t="s">
        <v>347</v>
      </c>
      <c r="Q91" s="113">
        <f>IFERROR(VLOOKUP($P91,'Master File - Rate Card'!$B:$G,6,0),"")</f>
        <v>48.384</v>
      </c>
      <c r="R91" s="113">
        <f>IFERROR(VLOOKUP($P91,'Master File - Rate Card'!$B:$K,10,0),"")</f>
        <v>3.6402329749103943</v>
      </c>
      <c r="S91" s="112" t="s">
        <v>401</v>
      </c>
      <c r="T91" s="114">
        <f t="shared" si="4"/>
        <v>48.384</v>
      </c>
      <c r="U91" s="115">
        <f t="shared" si="5"/>
        <v>3.6402329749103943</v>
      </c>
    </row>
    <row r="92" spans="2:21" ht="15" customHeight="1">
      <c r="B92" s="111"/>
      <c r="I92" s="111"/>
      <c r="J92" s="111"/>
      <c r="K92" s="111"/>
      <c r="O92" s="112" t="s">
        <v>101</v>
      </c>
      <c r="P92" s="112" t="s">
        <v>349</v>
      </c>
      <c r="Q92" s="113">
        <f>IFERROR(VLOOKUP($P92,'Master File - Rate Card'!$B:$G,6,0),"")</f>
        <v>52.919999999999995</v>
      </c>
      <c r="R92" s="113">
        <f>IFERROR(VLOOKUP($P92,'Master File - Rate Card'!$B:$K,10,0),"")</f>
        <v>5.8803763440860219</v>
      </c>
      <c r="S92" s="112" t="s">
        <v>402</v>
      </c>
      <c r="T92" s="114">
        <f t="shared" si="4"/>
        <v>52.919999999999995</v>
      </c>
      <c r="U92" s="115">
        <f t="shared" si="5"/>
        <v>5.8803763440860219</v>
      </c>
    </row>
    <row r="93" spans="2:21" ht="15" customHeight="1">
      <c r="B93" s="111"/>
      <c r="I93" s="111"/>
      <c r="J93" s="111"/>
      <c r="K93" s="111"/>
      <c r="O93" s="112" t="s">
        <v>101</v>
      </c>
      <c r="P93" s="112" t="s">
        <v>351</v>
      </c>
      <c r="Q93" s="113">
        <f>IFERROR(VLOOKUP($P93,'Master File - Rate Card'!$B:$G,6,0),"")</f>
        <v>63.503999999999998</v>
      </c>
      <c r="R93" s="113">
        <f>IFERROR(VLOOKUP($P93,'Master File - Rate Card'!$B:$K,10,0),"")</f>
        <v>12.040770609318997</v>
      </c>
      <c r="S93" s="112" t="s">
        <v>403</v>
      </c>
      <c r="T93" s="114">
        <f t="shared" si="4"/>
        <v>63.503999999999998</v>
      </c>
      <c r="U93" s="115">
        <f t="shared" si="5"/>
        <v>12.040770609318997</v>
      </c>
    </row>
    <row r="94" spans="2:21" ht="15" customHeight="1">
      <c r="B94" s="111"/>
      <c r="I94" s="111"/>
      <c r="J94" s="111"/>
      <c r="K94" s="111"/>
      <c r="O94" s="112" t="s">
        <v>101</v>
      </c>
      <c r="P94" s="112" t="s">
        <v>353</v>
      </c>
      <c r="Q94" s="113">
        <f>IFERROR(VLOOKUP($P94,'Master File - Rate Card'!$B:$G,6,0),"")</f>
        <v>42.335999999999999</v>
      </c>
      <c r="R94" s="113">
        <f>IFERROR(VLOOKUP($P94,'Master File - Rate Card'!$B:$K,10,0),"")</f>
        <v>3.6402329749103943</v>
      </c>
      <c r="S94" s="112" t="s">
        <v>404</v>
      </c>
      <c r="T94" s="114">
        <f t="shared" si="4"/>
        <v>42.335999999999999</v>
      </c>
      <c r="U94" s="115">
        <f t="shared" si="5"/>
        <v>3.6402329749103943</v>
      </c>
    </row>
    <row r="95" spans="2:21" ht="15" customHeight="1">
      <c r="B95" s="111"/>
      <c r="I95" s="111"/>
      <c r="J95" s="111"/>
      <c r="K95" s="111"/>
      <c r="O95" s="112" t="s">
        <v>101</v>
      </c>
      <c r="P95" s="112" t="s">
        <v>355</v>
      </c>
      <c r="Q95" s="113">
        <f>IFERROR(VLOOKUP($P95,'Master File - Rate Card'!$B:$G,6,0),"")</f>
        <v>52.919999999999995</v>
      </c>
      <c r="R95" s="113">
        <f>IFERROR(VLOOKUP($P95,'Master File - Rate Card'!$B:$K,10,0),"")</f>
        <v>5.8803763440860219</v>
      </c>
      <c r="S95" s="112" t="s">
        <v>405</v>
      </c>
      <c r="T95" s="114">
        <f t="shared" si="4"/>
        <v>52.919999999999995</v>
      </c>
      <c r="U95" s="115">
        <f t="shared" si="5"/>
        <v>5.8803763440860219</v>
      </c>
    </row>
    <row r="96" spans="2:21" ht="15" customHeight="1">
      <c r="B96" s="111"/>
      <c r="I96" s="111"/>
      <c r="J96" s="111"/>
      <c r="K96" s="111"/>
      <c r="O96" s="112" t="s">
        <v>101</v>
      </c>
      <c r="P96" s="112" t="s">
        <v>357</v>
      </c>
      <c r="Q96" s="113">
        <f>IFERROR(VLOOKUP($P96,'Master File - Rate Card'!$B:$G,6,0),"")</f>
        <v>60.480000000000004</v>
      </c>
      <c r="R96" s="113">
        <f>IFERROR(VLOOKUP($P96,'Master File - Rate Card'!$B:$K,10,0),"")</f>
        <v>12.040770609318997</v>
      </c>
      <c r="S96" s="112" t="s">
        <v>406</v>
      </c>
      <c r="T96" s="114">
        <f t="shared" si="4"/>
        <v>60.480000000000004</v>
      </c>
      <c r="U96" s="115">
        <f t="shared" si="5"/>
        <v>12.040770609318997</v>
      </c>
    </row>
    <row r="97" spans="2:21" ht="15" customHeight="1">
      <c r="B97" s="111"/>
      <c r="I97" s="111"/>
      <c r="J97" s="111"/>
      <c r="K97" s="111"/>
      <c r="O97" s="112" t="s">
        <v>101</v>
      </c>
      <c r="P97" s="112" t="s">
        <v>359</v>
      </c>
      <c r="Q97" s="113">
        <f>IFERROR(VLOOKUP($P97,'Master File - Rate Card'!$B:$G,6,0),"")</f>
        <v>34.775999999999996</v>
      </c>
      <c r="R97" s="113">
        <f>IFERROR(VLOOKUP($P97,'Master File - Rate Card'!$B:$K,10,0),"")</f>
        <v>6.4404121863799286</v>
      </c>
      <c r="S97" s="112" t="s">
        <v>407</v>
      </c>
      <c r="T97" s="114">
        <f t="shared" si="4"/>
        <v>34.775999999999996</v>
      </c>
      <c r="U97" s="115">
        <f t="shared" si="5"/>
        <v>6.4404121863799286</v>
      </c>
    </row>
    <row r="98" spans="2:21" ht="15" customHeight="1">
      <c r="O98" s="112" t="s">
        <v>101</v>
      </c>
      <c r="P98" s="112" t="s">
        <v>361</v>
      </c>
      <c r="Q98" s="113">
        <f>IFERROR(VLOOKUP($P98,'Master File - Rate Card'!$B:$G,6,0),"")</f>
        <v>43.847999999999999</v>
      </c>
      <c r="R98" s="113">
        <f>IFERROR(VLOOKUP($P98,'Master File - Rate Card'!$B:$K,10,0),"")</f>
        <v>10.360663082437275</v>
      </c>
      <c r="S98" s="112" t="s">
        <v>408</v>
      </c>
      <c r="T98" s="114">
        <f t="shared" si="4"/>
        <v>43.847999999999999</v>
      </c>
      <c r="U98" s="115">
        <f t="shared" si="5"/>
        <v>10.360663082437275</v>
      </c>
    </row>
    <row r="99" spans="2:21" ht="15" customHeight="1">
      <c r="O99" s="112" t="s">
        <v>101</v>
      </c>
      <c r="P99" s="112" t="s">
        <v>363</v>
      </c>
      <c r="Q99" s="113">
        <f>IFERROR(VLOOKUP($P99,'Master File - Rate Card'!$B:$G,6,0),"")</f>
        <v>58</v>
      </c>
      <c r="R99" s="113">
        <f>IFERROR(VLOOKUP($P99,'Master File - Rate Card'!$B:$K,10,0),"")</f>
        <v>13.440860215053764</v>
      </c>
      <c r="S99" s="112" t="s">
        <v>409</v>
      </c>
      <c r="T99" s="114">
        <f t="shared" si="4"/>
        <v>58</v>
      </c>
      <c r="U99" s="115">
        <f t="shared" si="5"/>
        <v>13.440860215053764</v>
      </c>
    </row>
    <row r="100" spans="2:21" ht="15" customHeight="1">
      <c r="O100" s="112" t="s">
        <v>101</v>
      </c>
      <c r="P100" s="112" t="s">
        <v>365</v>
      </c>
      <c r="Q100" s="113">
        <f>IFERROR(VLOOKUP($P100,'Master File - Rate Card'!$B:$G,6,0),"")</f>
        <v>75</v>
      </c>
      <c r="R100" s="113">
        <f>IFERROR(VLOOKUP($P100,'Master File - Rate Card'!$B:$K,10,0),"")</f>
        <v>19.041218637992831</v>
      </c>
      <c r="S100" s="112" t="s">
        <v>410</v>
      </c>
      <c r="T100" s="114">
        <f t="shared" si="4"/>
        <v>75</v>
      </c>
      <c r="U100" s="115">
        <f t="shared" si="5"/>
        <v>19.041218637992831</v>
      </c>
    </row>
    <row r="101" spans="2:21" ht="15" customHeight="1">
      <c r="O101" s="112" t="s">
        <v>101</v>
      </c>
      <c r="P101" s="112" t="s">
        <v>367</v>
      </c>
      <c r="Q101" s="113">
        <f>IFERROR(VLOOKUP($P101,'Master File - Rate Card'!$B:$G,6,0),"")</f>
        <v>91</v>
      </c>
      <c r="R101" s="113">
        <f ca="1">IFERROR(VLOOKUP($P101,'Master File - Rate Card'!$B:$K,10,0),"")</f>
        <v>20.161290322580644</v>
      </c>
      <c r="S101" s="112" t="s">
        <v>411</v>
      </c>
      <c r="T101" s="114">
        <f t="shared" si="4"/>
        <v>91</v>
      </c>
      <c r="U101" s="115">
        <f t="shared" ca="1" si="5"/>
        <v>20.161290322580644</v>
      </c>
    </row>
    <row r="102" spans="2:21" ht="15" customHeight="1">
      <c r="O102" s="112" t="s">
        <v>101</v>
      </c>
      <c r="P102" s="112" t="s">
        <v>369</v>
      </c>
      <c r="Q102" s="113">
        <f>IFERROR(VLOOKUP($P102,'Master File - Rate Card'!$B:$G,6,0),"")</f>
        <v>75.599999999999994</v>
      </c>
      <c r="R102" s="113">
        <f>IFERROR(VLOOKUP($P102,'Master File - Rate Card'!$B:$K,10,0),"")</f>
        <v>23.241487455197134</v>
      </c>
      <c r="S102" s="112" t="s">
        <v>412</v>
      </c>
      <c r="T102" s="114">
        <f t="shared" si="4"/>
        <v>75.599999999999994</v>
      </c>
      <c r="U102" s="115">
        <f t="shared" si="5"/>
        <v>23.241487455197134</v>
      </c>
    </row>
    <row r="103" spans="2:21" ht="15" customHeight="1">
      <c r="O103" s="112" t="s">
        <v>101</v>
      </c>
      <c r="P103" s="112" t="s">
        <v>371</v>
      </c>
      <c r="Q103" s="113">
        <f>IFERROR(VLOOKUP($P103,'Master File - Rate Card'!$B:$G,6,0),"")</f>
        <v>83.160000000000011</v>
      </c>
      <c r="R103" s="113">
        <f>IFERROR(VLOOKUP($P103,'Master File - Rate Card'!$B:$K,10,0),"")</f>
        <v>28.281810035842295</v>
      </c>
      <c r="S103" s="112" t="s">
        <v>413</v>
      </c>
      <c r="T103" s="114">
        <f t="shared" si="4"/>
        <v>83.160000000000011</v>
      </c>
      <c r="U103" s="115">
        <f t="shared" si="5"/>
        <v>28.281810035842295</v>
      </c>
    </row>
    <row r="104" spans="2:21" ht="15" customHeight="1">
      <c r="O104" s="112" t="s">
        <v>101</v>
      </c>
      <c r="P104" s="112" t="s">
        <v>373</v>
      </c>
      <c r="Q104" s="113">
        <f>IFERROR(VLOOKUP($P104,'Master File - Rate Card'!$B:$G,6,0),"")</f>
        <v>34.775999999999996</v>
      </c>
      <c r="R104" s="113">
        <f>IFERROR(VLOOKUP($P104,'Master File - Rate Card'!$B:$K,10,0),"")</f>
        <v>5.6003584229390686</v>
      </c>
      <c r="S104" s="112" t="s">
        <v>414</v>
      </c>
      <c r="T104" s="114">
        <f t="shared" si="4"/>
        <v>34.775999999999996</v>
      </c>
      <c r="U104" s="115">
        <f t="shared" si="5"/>
        <v>5.6003584229390686</v>
      </c>
    </row>
    <row r="105" spans="2:21" ht="15" customHeight="1">
      <c r="O105" s="112" t="s">
        <v>101</v>
      </c>
      <c r="P105" s="112" t="s">
        <v>375</v>
      </c>
      <c r="Q105" s="113">
        <f>IFERROR(VLOOKUP($P105,'Master File - Rate Card'!$B:$G,6,0),"")</f>
        <v>40.823999999999998</v>
      </c>
      <c r="R105" s="113">
        <f>IFERROR(VLOOKUP($P105,'Master File - Rate Card'!$B:$K,10,0),"")</f>
        <v>8.400537634408602</v>
      </c>
      <c r="S105" s="112" t="s">
        <v>415</v>
      </c>
      <c r="T105" s="114">
        <f t="shared" si="4"/>
        <v>40.823999999999998</v>
      </c>
      <c r="U105" s="115">
        <f t="shared" si="5"/>
        <v>8.400537634408602</v>
      </c>
    </row>
    <row r="106" spans="2:21" ht="15" customHeight="1">
      <c r="O106" s="112" t="s">
        <v>101</v>
      </c>
      <c r="P106" s="112" t="s">
        <v>377</v>
      </c>
      <c r="Q106" s="113">
        <f>IFERROR(VLOOKUP($P106,'Master File - Rate Card'!$B:$G,6,0),"")</f>
        <v>46.872</v>
      </c>
      <c r="R106" s="113">
        <f>IFERROR(VLOOKUP($P106,'Master File - Rate Card'!$B:$K,10,0),"")</f>
        <v>12.320788530465949</v>
      </c>
      <c r="S106" s="112" t="s">
        <v>416</v>
      </c>
      <c r="T106" s="114">
        <f t="shared" si="4"/>
        <v>46.872</v>
      </c>
      <c r="U106" s="115">
        <f t="shared" si="5"/>
        <v>12.320788530465949</v>
      </c>
    </row>
    <row r="107" spans="2:21" ht="15" customHeight="1">
      <c r="O107" s="112" t="s">
        <v>101</v>
      </c>
      <c r="P107" s="112" t="s">
        <v>379</v>
      </c>
      <c r="Q107" s="113">
        <f>IFERROR(VLOOKUP($P107,'Master File - Rate Card'!$B:$G,6,0),"")</f>
        <v>110</v>
      </c>
      <c r="R107" s="113">
        <f>IFERROR(VLOOKUP($P107,'Master File - Rate Card'!$B:$K,10,0),"")</f>
        <v>7.0004480286738344</v>
      </c>
      <c r="S107" s="112" t="s">
        <v>417</v>
      </c>
      <c r="T107" s="114">
        <f t="shared" si="4"/>
        <v>110</v>
      </c>
      <c r="U107" s="115">
        <f t="shared" si="5"/>
        <v>7.0004480286738344</v>
      </c>
    </row>
    <row r="108" spans="2:21" ht="15" customHeight="1">
      <c r="O108" s="112" t="s">
        <v>101</v>
      </c>
      <c r="P108" s="112" t="s">
        <v>381</v>
      </c>
      <c r="Q108" s="113">
        <f>IFERROR(VLOOKUP($P108,'Master File - Rate Card'!$B:$G,6,0),"")</f>
        <v>140</v>
      </c>
      <c r="R108" s="113">
        <f>IFERROR(VLOOKUP($P108,'Master File - Rate Card'!$B:$K,10,0),"")</f>
        <v>12.600806451612904</v>
      </c>
      <c r="S108" s="112" t="s">
        <v>418</v>
      </c>
      <c r="T108" s="114">
        <f t="shared" si="4"/>
        <v>140</v>
      </c>
      <c r="U108" s="115">
        <f t="shared" si="5"/>
        <v>12.600806451612904</v>
      </c>
    </row>
    <row r="109" spans="2:21" ht="15" customHeight="1">
      <c r="O109" s="112" t="s">
        <v>101</v>
      </c>
      <c r="P109" s="112" t="s">
        <v>383</v>
      </c>
      <c r="Q109" s="113">
        <f>IFERROR(VLOOKUP($P109,'Master File - Rate Card'!$B:$G,6,0),"")</f>
        <v>75.599999999999994</v>
      </c>
      <c r="R109" s="113">
        <f>IFERROR(VLOOKUP($P109,'Master File - Rate Card'!$B:$K,10,0),"")</f>
        <v>20.161290322580644</v>
      </c>
      <c r="S109" s="112" t="s">
        <v>419</v>
      </c>
      <c r="T109" s="114">
        <f t="shared" si="4"/>
        <v>75.599999999999994</v>
      </c>
      <c r="U109" s="115">
        <f t="shared" si="5"/>
        <v>20.161290322580644</v>
      </c>
    </row>
    <row r="110" spans="2:21" ht="15" customHeight="1">
      <c r="O110" s="112" t="s">
        <v>101</v>
      </c>
      <c r="P110" s="112" t="s">
        <v>385</v>
      </c>
      <c r="Q110" s="113">
        <f>IFERROR(VLOOKUP($P110,'Master File - Rate Card'!$B:$G,6,0),"")</f>
        <v>90.72</v>
      </c>
      <c r="R110" s="113">
        <f>IFERROR(VLOOKUP($P110,'Master File - Rate Card'!$B:$K,10,0),"")</f>
        <v>29.401881720430108</v>
      </c>
      <c r="S110" s="112" t="s">
        <v>420</v>
      </c>
      <c r="T110" s="114">
        <f t="shared" si="4"/>
        <v>90.72</v>
      </c>
      <c r="U110" s="115">
        <f t="shared" si="5"/>
        <v>29.401881720430108</v>
      </c>
    </row>
    <row r="111" spans="2:21" ht="15" customHeight="1">
      <c r="O111" s="112" t="s">
        <v>101</v>
      </c>
      <c r="P111" s="112" t="s">
        <v>387</v>
      </c>
      <c r="Q111" s="113">
        <f>IFERROR(VLOOKUP($P111,'Master File - Rate Card'!$B:$G,6,0),"")</f>
        <v>85</v>
      </c>
      <c r="R111" s="113">
        <f>IFERROR(VLOOKUP($P111,'Master File - Rate Card'!$B:$K,10,0),"")</f>
        <v>5.6003584229390686</v>
      </c>
      <c r="S111" s="112" t="s">
        <v>421</v>
      </c>
      <c r="T111" s="114">
        <f t="shared" si="4"/>
        <v>85</v>
      </c>
      <c r="U111" s="115">
        <f t="shared" si="5"/>
        <v>5.6003584229390686</v>
      </c>
    </row>
    <row r="112" spans="2:21" ht="15" customHeight="1">
      <c r="O112" s="112" t="s">
        <v>101</v>
      </c>
      <c r="P112" s="112" t="s">
        <v>389</v>
      </c>
      <c r="Q112" s="113">
        <f>IFERROR(VLOOKUP($P112,'Master File - Rate Card'!$B:$G,6,0),"")</f>
        <v>100</v>
      </c>
      <c r="R112" s="113">
        <f>IFERROR(VLOOKUP($P112,'Master File - Rate Card'!$B:$K,10,0),"")</f>
        <v>10.080645161290322</v>
      </c>
      <c r="S112" s="112" t="s">
        <v>422</v>
      </c>
      <c r="T112" s="114">
        <f t="shared" ref="T112:T143" si="6">Q112</f>
        <v>100</v>
      </c>
      <c r="U112" s="115">
        <f t="shared" ref="U112:U143" si="7">R112</f>
        <v>10.080645161290322</v>
      </c>
    </row>
    <row r="113" spans="15:21" ht="15" customHeight="1">
      <c r="O113" s="112" t="s">
        <v>101</v>
      </c>
      <c r="P113" s="112" t="s">
        <v>391</v>
      </c>
      <c r="Q113" s="113">
        <f>IFERROR(VLOOKUP($P113,'Master File - Rate Card'!$B:$G,6,0),"")</f>
        <v>130</v>
      </c>
      <c r="R113" s="113">
        <f ca="1">IFERROR(VLOOKUP($P113,'Master File - Rate Card'!$B:$K,10,0),"")</f>
        <v>17.641129032258064</v>
      </c>
      <c r="S113" s="112" t="s">
        <v>423</v>
      </c>
      <c r="T113" s="114">
        <f t="shared" si="6"/>
        <v>130</v>
      </c>
      <c r="U113" s="115">
        <f t="shared" ca="1" si="7"/>
        <v>17.641129032258064</v>
      </c>
    </row>
    <row r="114" spans="15:21" ht="12.75" customHeight="1">
      <c r="O114" s="112" t="s">
        <v>171</v>
      </c>
      <c r="P114" s="112" t="s">
        <v>156</v>
      </c>
      <c r="Q114" s="113">
        <f>IFERROR(VLOOKUP($P114,'Master File - Rate Card'!$B:$G,6,0),"")</f>
        <v>57.291666666666664</v>
      </c>
      <c r="R114" s="113">
        <f>IFERROR(VLOOKUP($P114,'Master File - Rate Card'!$B:$K,10,0),"")</f>
        <v>6.720430107526882</v>
      </c>
      <c r="S114" s="112" t="s">
        <v>424</v>
      </c>
      <c r="T114" s="114">
        <f t="shared" si="6"/>
        <v>57.291666666666664</v>
      </c>
      <c r="U114" s="115">
        <f t="shared" si="7"/>
        <v>6.720430107526882</v>
      </c>
    </row>
    <row r="115" spans="15:21" ht="15" customHeight="1">
      <c r="O115" s="112" t="s">
        <v>171</v>
      </c>
      <c r="P115" s="112" t="s">
        <v>165</v>
      </c>
      <c r="Q115" s="113">
        <f>IFERROR(VLOOKUP($P115,'Master File - Rate Card'!$B:$G,6,0),"")</f>
        <v>62.5</v>
      </c>
      <c r="R115" s="113">
        <f>IFERROR(VLOOKUP($P115,'Master File - Rate Card'!$B:$K,10,0),"")</f>
        <v>10.640681003584231</v>
      </c>
      <c r="S115" s="112" t="s">
        <v>424</v>
      </c>
      <c r="T115" s="114">
        <f t="shared" si="6"/>
        <v>62.5</v>
      </c>
      <c r="U115" s="115">
        <f t="shared" si="7"/>
        <v>10.640681003584231</v>
      </c>
    </row>
    <row r="116" spans="15:21" ht="15" customHeight="1">
      <c r="O116" s="112" t="s">
        <v>171</v>
      </c>
      <c r="P116" s="112" t="s">
        <v>174</v>
      </c>
      <c r="Q116" s="113">
        <f>IFERROR(VLOOKUP($P116,'Master File - Rate Card'!$B:$G,6,0),"")</f>
        <v>70.3125</v>
      </c>
      <c r="R116" s="113">
        <f>IFERROR(VLOOKUP($P116,'Master File - Rate Card'!$B:$K,10,0),"")</f>
        <v>14.560931899641577</v>
      </c>
      <c r="S116" s="112" t="s">
        <v>424</v>
      </c>
      <c r="T116" s="114">
        <f t="shared" si="6"/>
        <v>70.3125</v>
      </c>
      <c r="U116" s="115">
        <f t="shared" si="7"/>
        <v>14.560931899641577</v>
      </c>
    </row>
    <row r="117" spans="15:21" ht="15" customHeight="1">
      <c r="O117" s="112" t="s">
        <v>171</v>
      </c>
      <c r="P117" s="112" t="s">
        <v>182</v>
      </c>
      <c r="Q117" s="113">
        <f>IFERROR(VLOOKUP($P117,'Master File - Rate Card'!$B:$G,6,0),"")</f>
        <v>83.333333333333329</v>
      </c>
      <c r="R117" s="113">
        <f>IFERROR(VLOOKUP($P117,'Master File - Rate Card'!$B:$K,10,0),"")</f>
        <v>21.841397849462364</v>
      </c>
      <c r="S117" s="112">
        <v>1</v>
      </c>
      <c r="T117" s="114">
        <f t="shared" si="6"/>
        <v>83.333333333333329</v>
      </c>
      <c r="U117" s="115">
        <f t="shared" si="7"/>
        <v>21.841397849462364</v>
      </c>
    </row>
    <row r="118" spans="15:21" ht="15" customHeight="1">
      <c r="O118" s="112" t="s">
        <v>171</v>
      </c>
      <c r="P118" s="112" t="s">
        <v>190</v>
      </c>
      <c r="Q118" s="113">
        <f>IFERROR(VLOOKUP($P118,'Master File - Rate Card'!$B:$G,6,0),"")</f>
        <v>93.75</v>
      </c>
      <c r="R118" s="113">
        <f>IFERROR(VLOOKUP($P118,'Master File - Rate Card'!$B:$K,10,0),"")</f>
        <v>26.601702508960575</v>
      </c>
      <c r="S118" s="112">
        <v>2</v>
      </c>
      <c r="T118" s="114">
        <f t="shared" si="6"/>
        <v>93.75</v>
      </c>
      <c r="U118" s="115">
        <f t="shared" si="7"/>
        <v>26.601702508960575</v>
      </c>
    </row>
    <row r="119" spans="15:21" ht="15" customHeight="1">
      <c r="O119" s="112" t="s">
        <v>171</v>
      </c>
      <c r="P119" s="112" t="s">
        <v>196</v>
      </c>
      <c r="Q119" s="113">
        <f>IFERROR(VLOOKUP($P119,'Master File - Rate Card'!$B:$G,6,0),"")</f>
        <v>117.1875</v>
      </c>
      <c r="R119" s="113">
        <f>IFERROR(VLOOKUP($P119,'Master File - Rate Card'!$B:$K,10,0),"")</f>
        <v>39.762544802867382</v>
      </c>
      <c r="S119" s="112">
        <v>3</v>
      </c>
      <c r="T119" s="114">
        <f t="shared" si="6"/>
        <v>117.1875</v>
      </c>
      <c r="U119" s="115">
        <f t="shared" si="7"/>
        <v>39.762544802867382</v>
      </c>
    </row>
    <row r="120" spans="15:21" ht="15" customHeight="1">
      <c r="O120" s="112" t="s">
        <v>171</v>
      </c>
      <c r="P120" s="112" t="s">
        <v>202</v>
      </c>
      <c r="Q120" s="113">
        <f>IFERROR(VLOOKUP($P120,'Master File - Rate Card'!$B:$G,6,0),"")</f>
        <v>59.895833333333336</v>
      </c>
      <c r="R120" s="113">
        <f>IFERROR(VLOOKUP($P120,'Master File - Rate Card'!$B:$K,10,0),"")</f>
        <v>7.8405017921146953</v>
      </c>
      <c r="S120" s="112">
        <v>4</v>
      </c>
      <c r="T120" s="114">
        <f t="shared" si="6"/>
        <v>59.895833333333336</v>
      </c>
      <c r="U120" s="115">
        <f t="shared" si="7"/>
        <v>7.8405017921146953</v>
      </c>
    </row>
    <row r="121" spans="15:21" ht="15" customHeight="1">
      <c r="O121" s="112" t="s">
        <v>171</v>
      </c>
      <c r="P121" s="112" t="s">
        <v>208</v>
      </c>
      <c r="Q121" s="113">
        <f>IFERROR(VLOOKUP($P121,'Master File - Rate Card'!$B:$G,6,0),"")</f>
        <v>70.3125</v>
      </c>
      <c r="R121" s="113">
        <f>IFERROR(VLOOKUP($P121,'Master File - Rate Card'!$B:$K,10,0),"")</f>
        <v>14.000896057347669</v>
      </c>
      <c r="S121" s="112">
        <v>5</v>
      </c>
      <c r="T121" s="114">
        <f t="shared" si="6"/>
        <v>70.3125</v>
      </c>
      <c r="U121" s="115">
        <f t="shared" si="7"/>
        <v>14.000896057347669</v>
      </c>
    </row>
    <row r="122" spans="15:21" ht="15" customHeight="1">
      <c r="O122" s="112" t="s">
        <v>171</v>
      </c>
      <c r="P122" s="112" t="s">
        <v>214</v>
      </c>
      <c r="Q122" s="113">
        <f>IFERROR(VLOOKUP($P122,'Master File - Rate Card'!$B:$G,6,0),"")</f>
        <v>72.916666666666671</v>
      </c>
      <c r="R122" s="113">
        <f>IFERROR(VLOOKUP($P122,'Master File - Rate Card'!$B:$K,10,0),"")</f>
        <v>21.841397849462364</v>
      </c>
      <c r="S122" s="112">
        <v>6</v>
      </c>
      <c r="T122" s="114">
        <f t="shared" si="6"/>
        <v>72.916666666666671</v>
      </c>
      <c r="U122" s="115">
        <f t="shared" si="7"/>
        <v>21.841397849462364</v>
      </c>
    </row>
    <row r="123" spans="15:21" ht="15" customHeight="1">
      <c r="O123" s="112" t="s">
        <v>171</v>
      </c>
      <c r="P123" s="112" t="s">
        <v>219</v>
      </c>
      <c r="Q123" s="113">
        <f>IFERROR(VLOOKUP($P123,'Master File - Rate Card'!$B:$G,6,0),"")</f>
        <v>89.583333333333329</v>
      </c>
      <c r="R123" s="113">
        <f>IFERROR(VLOOKUP($P123,'Master File - Rate Card'!$B:$K,10,0),"")</f>
        <v>29.121863799283155</v>
      </c>
      <c r="S123" s="112">
        <v>7</v>
      </c>
      <c r="T123" s="114">
        <f t="shared" si="6"/>
        <v>89.583333333333329</v>
      </c>
      <c r="U123" s="115">
        <f t="shared" si="7"/>
        <v>29.121863799283155</v>
      </c>
    </row>
    <row r="124" spans="15:21" ht="15" customHeight="1">
      <c r="O124" s="112" t="s">
        <v>171</v>
      </c>
      <c r="P124" s="112" t="s">
        <v>225</v>
      </c>
      <c r="Q124" s="113">
        <f>IFERROR(VLOOKUP($P124,'Master File - Rate Card'!$B:$G,6,0),"")</f>
        <v>100</v>
      </c>
      <c r="R124" s="113">
        <f>IFERROR(VLOOKUP($P124,'Master File - Rate Card'!$B:$K,10,0),"")</f>
        <v>39.202508960573475</v>
      </c>
      <c r="S124" s="112">
        <v>8</v>
      </c>
      <c r="T124" s="114">
        <f t="shared" si="6"/>
        <v>100</v>
      </c>
      <c r="U124" s="115">
        <f t="shared" si="7"/>
        <v>39.202508960573475</v>
      </c>
    </row>
    <row r="125" spans="15:21" ht="15" customHeight="1">
      <c r="O125" s="112" t="s">
        <v>171</v>
      </c>
      <c r="P125" s="112" t="s">
        <v>230</v>
      </c>
      <c r="Q125" s="113">
        <f>IFERROR(VLOOKUP($P125,'Master File - Rate Card'!$B:$G,6,0),"")</f>
        <v>104.16666666666667</v>
      </c>
      <c r="R125" s="113">
        <f ca="1">IFERROR(VLOOKUP($P125,'Master File - Rate Card'!$B:$K,10,0),"")</f>
        <v>42.002688172043008</v>
      </c>
      <c r="S125" s="112" t="s">
        <v>425</v>
      </c>
      <c r="T125" s="114">
        <f t="shared" si="6"/>
        <v>104.16666666666667</v>
      </c>
      <c r="U125" s="115">
        <f t="shared" ca="1" si="7"/>
        <v>42.002688172043008</v>
      </c>
    </row>
    <row r="126" spans="15:21" ht="15" customHeight="1">
      <c r="O126" s="112" t="s">
        <v>171</v>
      </c>
      <c r="P126" s="112" t="s">
        <v>235</v>
      </c>
      <c r="Q126" s="113">
        <f>IFERROR(VLOOKUP($P126,'Master File - Rate Card'!$B:$G,6,0),"")</f>
        <v>58.333333333333336</v>
      </c>
      <c r="R126" s="113">
        <f>IFERROR(VLOOKUP($P126,'Master File - Rate Card'!$B:$K,10,0),"")</f>
        <v>10.080645161290322</v>
      </c>
      <c r="S126" s="112" t="s">
        <v>425</v>
      </c>
      <c r="T126" s="114">
        <f t="shared" si="6"/>
        <v>58.333333333333336</v>
      </c>
      <c r="U126" s="115">
        <f t="shared" si="7"/>
        <v>10.080645161290322</v>
      </c>
    </row>
    <row r="127" spans="15:21" ht="15" customHeight="1">
      <c r="O127" s="112" t="s">
        <v>171</v>
      </c>
      <c r="P127" s="112" t="s">
        <v>239</v>
      </c>
      <c r="Q127" s="113">
        <f>IFERROR(VLOOKUP($P127,'Master File - Rate Card'!$B:$G,6,0),"")</f>
        <v>72.916666666666671</v>
      </c>
      <c r="R127" s="113">
        <f>IFERROR(VLOOKUP($P127,'Master File - Rate Card'!$B:$K,10,0),"")</f>
        <v>16.241039426523297</v>
      </c>
      <c r="S127" s="112" t="s">
        <v>425</v>
      </c>
      <c r="T127" s="114">
        <f t="shared" si="6"/>
        <v>72.916666666666671</v>
      </c>
      <c r="U127" s="115">
        <f t="shared" si="7"/>
        <v>16.241039426523297</v>
      </c>
    </row>
    <row r="128" spans="15:21" ht="15" customHeight="1">
      <c r="O128" s="112" t="s">
        <v>171</v>
      </c>
      <c r="P128" s="112" t="s">
        <v>243</v>
      </c>
      <c r="Q128" s="113">
        <f>IFERROR(VLOOKUP($P128,'Master File - Rate Card'!$B:$G,6,0),"")</f>
        <v>75.520833333333329</v>
      </c>
      <c r="R128" s="113">
        <f>IFERROR(VLOOKUP($P128,'Master File - Rate Card'!$B:$K,10,0),"")</f>
        <v>24.081541218637994</v>
      </c>
      <c r="S128" s="112" t="s">
        <v>426</v>
      </c>
      <c r="T128" s="114">
        <f t="shared" si="6"/>
        <v>75.520833333333329</v>
      </c>
      <c r="U128" s="115">
        <f t="shared" si="7"/>
        <v>24.081541218637994</v>
      </c>
    </row>
    <row r="129" spans="15:21" ht="15" customHeight="1">
      <c r="O129" s="112" t="s">
        <v>171</v>
      </c>
      <c r="P129" s="112" t="s">
        <v>248</v>
      </c>
      <c r="Q129" s="113">
        <f>IFERROR(VLOOKUP($P129,'Master File - Rate Card'!$B:$G,6,0),"")</f>
        <v>92.708333333333329</v>
      </c>
      <c r="R129" s="113">
        <f>IFERROR(VLOOKUP($P129,'Master File - Rate Card'!$B:$K,10,0),"")</f>
        <v>30.801971326164875</v>
      </c>
      <c r="S129" s="112" t="s">
        <v>426</v>
      </c>
      <c r="T129" s="114">
        <f t="shared" si="6"/>
        <v>92.708333333333329</v>
      </c>
      <c r="U129" s="115">
        <f t="shared" si="7"/>
        <v>30.801971326164875</v>
      </c>
    </row>
    <row r="130" spans="15:21" ht="15" customHeight="1">
      <c r="O130" s="112" t="s">
        <v>171</v>
      </c>
      <c r="P130" s="112" t="s">
        <v>253</v>
      </c>
      <c r="Q130" s="113">
        <f>IFERROR(VLOOKUP($P130,'Master File - Rate Card'!$B:$G,6,0),"")</f>
        <v>104.16666666666667</v>
      </c>
      <c r="R130" s="113">
        <f>IFERROR(VLOOKUP($P130,'Master File - Rate Card'!$B:$K,10,0),"")</f>
        <v>40.042562724014338</v>
      </c>
      <c r="S130" s="112" t="s">
        <v>426</v>
      </c>
      <c r="T130" s="114">
        <f t="shared" si="6"/>
        <v>104.16666666666667</v>
      </c>
      <c r="U130" s="115">
        <f t="shared" si="7"/>
        <v>40.042562724014338</v>
      </c>
    </row>
    <row r="131" spans="15:21" ht="15" customHeight="1">
      <c r="O131" s="112" t="s">
        <v>171</v>
      </c>
      <c r="P131" s="112" t="s">
        <v>258</v>
      </c>
      <c r="Q131" s="113">
        <f>IFERROR(VLOOKUP($P131,'Master File - Rate Card'!$B:$G,6,0),"")</f>
        <v>130.20833333333334</v>
      </c>
      <c r="R131" s="113">
        <f>IFERROR(VLOOKUP($P131,'Master File - Rate Card'!$B:$K,10,0),"")</f>
        <v>43.402777777777779</v>
      </c>
      <c r="S131" s="112" t="s">
        <v>427</v>
      </c>
      <c r="T131" s="114">
        <f t="shared" si="6"/>
        <v>130.20833333333334</v>
      </c>
      <c r="U131" s="115">
        <f t="shared" si="7"/>
        <v>43.402777777777779</v>
      </c>
    </row>
    <row r="132" spans="15:21" ht="15" customHeight="1">
      <c r="O132" s="112" t="s">
        <v>171</v>
      </c>
      <c r="P132" s="112" t="s">
        <v>262</v>
      </c>
      <c r="Q132" s="113">
        <f>IFERROR(VLOOKUP($P132,'Master File - Rate Card'!$B:$G,6,0),"")</f>
        <v>59.895833333333336</v>
      </c>
      <c r="R132" s="113">
        <f>IFERROR(VLOOKUP($P132,'Master File - Rate Card'!$B:$K,10,0),"")</f>
        <v>8.6805555555555554</v>
      </c>
      <c r="S132" s="112" t="s">
        <v>427</v>
      </c>
      <c r="T132" s="114">
        <f t="shared" si="6"/>
        <v>59.895833333333336</v>
      </c>
      <c r="U132" s="115">
        <f t="shared" si="7"/>
        <v>8.6805555555555554</v>
      </c>
    </row>
    <row r="133" spans="15:21" ht="15" customHeight="1">
      <c r="O133" s="112" t="s">
        <v>171</v>
      </c>
      <c r="P133" s="112" t="s">
        <v>266</v>
      </c>
      <c r="Q133" s="113">
        <f>IFERROR(VLOOKUP($P133,'Master File - Rate Card'!$B:$G,6,0),"")</f>
        <v>70.3125</v>
      </c>
      <c r="R133" s="113">
        <f>IFERROR(VLOOKUP($P133,'Master File - Rate Card'!$B:$K,10,0),"")</f>
        <v>13.720878136200717</v>
      </c>
      <c r="S133" s="112" t="s">
        <v>427</v>
      </c>
      <c r="T133" s="114">
        <f t="shared" si="6"/>
        <v>70.3125</v>
      </c>
      <c r="U133" s="115">
        <f t="shared" si="7"/>
        <v>13.720878136200717</v>
      </c>
    </row>
    <row r="134" spans="15:21" ht="15" customHeight="1">
      <c r="O134" s="112" t="s">
        <v>171</v>
      </c>
      <c r="P134" s="112" t="s">
        <v>269</v>
      </c>
      <c r="Q134" s="113">
        <f>IFERROR(VLOOKUP($P134,'Master File - Rate Card'!$B:$G,6,0),"")</f>
        <v>75.520833333333329</v>
      </c>
      <c r="R134" s="113">
        <f>IFERROR(VLOOKUP($P134,'Master File - Rate Card'!$B:$K,10,0),"")</f>
        <v>20.161290322580644</v>
      </c>
      <c r="S134" s="112" t="s">
        <v>428</v>
      </c>
      <c r="T134" s="114">
        <f t="shared" si="6"/>
        <v>75.520833333333329</v>
      </c>
      <c r="U134" s="115">
        <f t="shared" si="7"/>
        <v>20.161290322580644</v>
      </c>
    </row>
    <row r="135" spans="15:21" ht="15" customHeight="1">
      <c r="O135" s="112" t="s">
        <v>171</v>
      </c>
      <c r="P135" s="112" t="s">
        <v>272</v>
      </c>
      <c r="Q135" s="113">
        <f>IFERROR(VLOOKUP($P135,'Master File - Rate Card'!$B:$G,6,0),"")</f>
        <v>89.583333333333329</v>
      </c>
      <c r="R135" s="113">
        <f>IFERROR(VLOOKUP($P135,'Master File - Rate Card'!$B:$K,10,0),"")</f>
        <v>30.521953405017918</v>
      </c>
      <c r="S135" s="112" t="s">
        <v>428</v>
      </c>
      <c r="T135" s="114">
        <f t="shared" si="6"/>
        <v>89.583333333333329</v>
      </c>
      <c r="U135" s="115">
        <f t="shared" si="7"/>
        <v>30.521953405017918</v>
      </c>
    </row>
    <row r="136" spans="15:21" ht="15" customHeight="1">
      <c r="O136" s="112" t="s">
        <v>171</v>
      </c>
      <c r="P136" s="112" t="s">
        <v>275</v>
      </c>
      <c r="Q136" s="113">
        <f>IFERROR(VLOOKUP($P136,'Master File - Rate Card'!$B:$G,6,0),"")</f>
        <v>104.16666666666667</v>
      </c>
      <c r="R136" s="113">
        <f>IFERROR(VLOOKUP($P136,'Master File - Rate Card'!$B:$K,10,0),"")</f>
        <v>40.602598566308245</v>
      </c>
      <c r="S136" s="112" t="s">
        <v>428</v>
      </c>
      <c r="T136" s="114">
        <f t="shared" si="6"/>
        <v>104.16666666666667</v>
      </c>
      <c r="U136" s="115">
        <f t="shared" si="7"/>
        <v>40.602598566308245</v>
      </c>
    </row>
    <row r="137" spans="15:21" ht="15" customHeight="1">
      <c r="O137" s="112" t="s">
        <v>179</v>
      </c>
      <c r="P137" s="112" t="s">
        <v>157</v>
      </c>
      <c r="Q137" s="113">
        <f>IFERROR(VLOOKUP($P137,'Master File - Rate Card'!$B:$G,6,0),"")</f>
        <v>130.20833333333334</v>
      </c>
      <c r="R137" s="113">
        <f>IFERROR(VLOOKUP($P137,'Master File - Rate Card'!$B:$K,10,0),"")</f>
        <v>5.6003584229390686</v>
      </c>
      <c r="S137" s="112" t="s">
        <v>429</v>
      </c>
      <c r="T137" s="114">
        <f t="shared" si="6"/>
        <v>130.20833333333334</v>
      </c>
      <c r="U137" s="115">
        <f t="shared" si="7"/>
        <v>5.6003584229390686</v>
      </c>
    </row>
    <row r="138" spans="15:21" ht="15" customHeight="1">
      <c r="O138" s="112" t="s">
        <v>179</v>
      </c>
      <c r="P138" s="112" t="s">
        <v>166</v>
      </c>
      <c r="Q138" s="113">
        <f>IFERROR(VLOOKUP($P138,'Master File - Rate Card'!$B:$G,6,0),"")</f>
        <v>63.503999999999998</v>
      </c>
      <c r="R138" s="113">
        <f>IFERROR(VLOOKUP($P138,'Master File - Rate Card'!$B:$K,10,0),"")</f>
        <v>8.9605734767025087</v>
      </c>
      <c r="S138" s="112" t="s">
        <v>430</v>
      </c>
      <c r="T138" s="114">
        <f t="shared" si="6"/>
        <v>63.503999999999998</v>
      </c>
      <c r="U138" s="115">
        <f t="shared" si="7"/>
        <v>8.9605734767025087</v>
      </c>
    </row>
    <row r="139" spans="15:21" ht="15" customHeight="1">
      <c r="O139" s="112" t="s">
        <v>179</v>
      </c>
      <c r="P139" s="112" t="s">
        <v>175</v>
      </c>
      <c r="Q139" s="113">
        <f>IFERROR(VLOOKUP($P139,'Master File - Rate Card'!$B:$G,6,0),"")</f>
        <v>77</v>
      </c>
      <c r="R139" s="113">
        <f>IFERROR(VLOOKUP($P139,'Master File - Rate Card'!$B:$K,10,0),"")</f>
        <v>14.000896057347669</v>
      </c>
      <c r="S139" s="112" t="s">
        <v>431</v>
      </c>
      <c r="T139" s="114">
        <f t="shared" si="6"/>
        <v>77</v>
      </c>
      <c r="U139" s="115">
        <f t="shared" si="7"/>
        <v>14.000896057347669</v>
      </c>
    </row>
    <row r="140" spans="15:21" ht="15" customHeight="1">
      <c r="O140" s="112" t="s">
        <v>179</v>
      </c>
      <c r="P140" s="112" t="s">
        <v>183</v>
      </c>
      <c r="Q140" s="113">
        <f>IFERROR(VLOOKUP($P140,'Master File - Rate Card'!$B:$G,6,0),"")</f>
        <v>109</v>
      </c>
      <c r="R140" s="113">
        <f>IFERROR(VLOOKUP($P140,'Master File - Rate Card'!$B:$K,10,0),"")</f>
        <v>21.001344086021504</v>
      </c>
      <c r="S140" s="112" t="s">
        <v>432</v>
      </c>
      <c r="T140" s="114">
        <f t="shared" si="6"/>
        <v>109</v>
      </c>
      <c r="U140" s="115">
        <f t="shared" si="7"/>
        <v>21.001344086021504</v>
      </c>
    </row>
    <row r="141" spans="15:21" ht="15" customHeight="1">
      <c r="O141" s="112" t="s">
        <v>179</v>
      </c>
      <c r="P141" s="112" t="s">
        <v>191</v>
      </c>
      <c r="Q141" s="113">
        <f>IFERROR(VLOOKUP($P141,'Master File - Rate Card'!$B:$G,6,0),"")</f>
        <v>141</v>
      </c>
      <c r="R141" s="113">
        <f>IFERROR(VLOOKUP($P141,'Master File - Rate Card'!$B:$K,10,0),"")</f>
        <v>30.801971326164875</v>
      </c>
      <c r="S141" s="112" t="s">
        <v>433</v>
      </c>
      <c r="T141" s="114">
        <f t="shared" si="6"/>
        <v>141</v>
      </c>
      <c r="U141" s="115">
        <f t="shared" si="7"/>
        <v>30.801971326164875</v>
      </c>
    </row>
    <row r="142" spans="15:21" ht="15" customHeight="1">
      <c r="O142" s="112" t="s">
        <v>179</v>
      </c>
      <c r="P142" s="112" t="s">
        <v>197</v>
      </c>
      <c r="Q142" s="113">
        <f>IFERROR(VLOOKUP($P142,'Master File - Rate Card'!$B:$G,6,0),"")</f>
        <v>52.919999999999995</v>
      </c>
      <c r="R142" s="113">
        <f>IFERROR(VLOOKUP($P142,'Master File - Rate Card'!$B:$K,10,0),"")</f>
        <v>7.8405017921146953</v>
      </c>
      <c r="S142" s="112" t="s">
        <v>434</v>
      </c>
      <c r="T142" s="114">
        <f t="shared" si="6"/>
        <v>52.919999999999995</v>
      </c>
      <c r="U142" s="115">
        <f t="shared" si="7"/>
        <v>7.8405017921146953</v>
      </c>
    </row>
    <row r="143" spans="15:21" ht="15" customHeight="1">
      <c r="O143" s="112" t="s">
        <v>179</v>
      </c>
      <c r="P143" s="112" t="s">
        <v>203</v>
      </c>
      <c r="Q143" s="113">
        <f>IFERROR(VLOOKUP($P143,'Master File - Rate Card'!$B:$G,6,0),"")</f>
        <v>63.503999999999998</v>
      </c>
      <c r="R143" s="113">
        <f>IFERROR(VLOOKUP($P143,'Master File - Rate Card'!$B:$K,10,0),"")</f>
        <v>12.040770609318997</v>
      </c>
      <c r="S143" s="112" t="s">
        <v>435</v>
      </c>
      <c r="T143" s="114">
        <f t="shared" si="6"/>
        <v>63.503999999999998</v>
      </c>
      <c r="U143" s="115">
        <f t="shared" si="7"/>
        <v>12.040770609318997</v>
      </c>
    </row>
    <row r="144" spans="15:21" ht="15" customHeight="1">
      <c r="O144" s="112" t="s">
        <v>179</v>
      </c>
      <c r="P144" s="112" t="s">
        <v>209</v>
      </c>
      <c r="Q144" s="113">
        <f>IFERROR(VLOOKUP($P144,'Master File - Rate Card'!$B:$G,6,0),"")</f>
        <v>89</v>
      </c>
      <c r="R144" s="113">
        <f>IFERROR(VLOOKUP($P144,'Master File - Rate Card'!$B:$K,10,0),"")</f>
        <v>16.241039426523297</v>
      </c>
      <c r="S144" s="112" t="s">
        <v>436</v>
      </c>
      <c r="T144" s="114">
        <f t="shared" ref="T144:T174" si="8">Q144</f>
        <v>89</v>
      </c>
      <c r="U144" s="115">
        <f t="shared" ref="U144:U174" si="9">R144</f>
        <v>16.241039426523297</v>
      </c>
    </row>
    <row r="145" spans="15:21" ht="15" customHeight="1">
      <c r="O145" s="112" t="s">
        <v>179</v>
      </c>
      <c r="P145" s="112" t="s">
        <v>215</v>
      </c>
      <c r="Q145" s="113">
        <f>IFERROR(VLOOKUP($P145,'Master File - Rate Card'!$B:$G,6,0),"")</f>
        <v>119</v>
      </c>
      <c r="R145" s="113">
        <f>IFERROR(VLOOKUP($P145,'Master File - Rate Card'!$B:$K,10,0),"")</f>
        <v>21.001344086021504</v>
      </c>
      <c r="S145" s="112" t="s">
        <v>437</v>
      </c>
      <c r="T145" s="114">
        <f t="shared" si="8"/>
        <v>119</v>
      </c>
      <c r="U145" s="115">
        <f t="shared" si="9"/>
        <v>21.001344086021504</v>
      </c>
    </row>
    <row r="146" spans="15:21" ht="15" customHeight="1">
      <c r="O146" s="112" t="s">
        <v>179</v>
      </c>
      <c r="P146" s="112" t="s">
        <v>220</v>
      </c>
      <c r="Q146" s="113">
        <f>IFERROR(VLOOKUP($P146,'Master File - Rate Card'!$B:$G,6,0),"")</f>
        <v>149</v>
      </c>
      <c r="R146" s="113">
        <f>IFERROR(VLOOKUP($P146,'Master File - Rate Card'!$B:$K,10,0),"")</f>
        <v>13.300851254480287</v>
      </c>
      <c r="S146" s="112" t="s">
        <v>438</v>
      </c>
      <c r="T146" s="114">
        <f t="shared" si="8"/>
        <v>149</v>
      </c>
      <c r="U146" s="115">
        <f t="shared" si="9"/>
        <v>13.300851254480287</v>
      </c>
    </row>
    <row r="147" spans="15:21" ht="15" customHeight="1">
      <c r="O147" s="112" t="s">
        <v>179</v>
      </c>
      <c r="P147" s="112" t="s">
        <v>226</v>
      </c>
      <c r="Q147" s="113">
        <f>IFERROR(VLOOKUP($P147,'Master File - Rate Card'!$B:$G,6,0),"")</f>
        <v>45.36</v>
      </c>
      <c r="R147" s="113">
        <f>IFERROR(VLOOKUP($P147,'Master File - Rate Card'!$B:$K,10,0),"")</f>
        <v>9.240591397849462</v>
      </c>
      <c r="S147" s="112" t="s">
        <v>439</v>
      </c>
      <c r="T147" s="114">
        <f t="shared" si="8"/>
        <v>45.36</v>
      </c>
      <c r="U147" s="115">
        <f t="shared" si="9"/>
        <v>9.240591397849462</v>
      </c>
    </row>
    <row r="148" spans="15:21" ht="15" customHeight="1">
      <c r="O148" s="112" t="s">
        <v>179</v>
      </c>
      <c r="P148" s="112" t="s">
        <v>231</v>
      </c>
      <c r="Q148" s="113">
        <f>IFERROR(VLOOKUP($P148,'Master File - Rate Card'!$B:$G,6,0),"")</f>
        <v>63.503999999999998</v>
      </c>
      <c r="R148" s="113">
        <f>IFERROR(VLOOKUP($P148,'Master File - Rate Card'!$B:$K,10,0),"")</f>
        <v>14.560931899641577</v>
      </c>
      <c r="S148" s="112" t="s">
        <v>440</v>
      </c>
      <c r="T148" s="114">
        <f t="shared" si="8"/>
        <v>63.503999999999998</v>
      </c>
      <c r="U148" s="115">
        <f t="shared" si="9"/>
        <v>14.560931899641577</v>
      </c>
    </row>
    <row r="149" spans="15:21" ht="15" customHeight="1">
      <c r="O149" s="112" t="s">
        <v>179</v>
      </c>
      <c r="P149" s="112" t="s">
        <v>236</v>
      </c>
      <c r="Q149" s="113">
        <f>IFERROR(VLOOKUP($P149,'Master File - Rate Card'!$B:$G,6,0),"")</f>
        <v>89</v>
      </c>
      <c r="R149" s="113">
        <f>IFERROR(VLOOKUP($P149,'Master File - Rate Card'!$B:$K,10,0),"")</f>
        <v>21.001344086021504</v>
      </c>
      <c r="S149" s="112" t="s">
        <v>441</v>
      </c>
      <c r="T149" s="114">
        <f t="shared" si="8"/>
        <v>89</v>
      </c>
      <c r="U149" s="115">
        <f t="shared" si="9"/>
        <v>21.001344086021504</v>
      </c>
    </row>
    <row r="150" spans="15:21" ht="15" customHeight="1">
      <c r="O150" s="112" t="s">
        <v>179</v>
      </c>
      <c r="P150" s="112" t="s">
        <v>240</v>
      </c>
      <c r="Q150" s="113">
        <f>IFERROR(VLOOKUP($P150,'Master File - Rate Card'!$B:$G,6,0),"")</f>
        <v>119</v>
      </c>
      <c r="R150" s="113">
        <f>IFERROR(VLOOKUP($P150,'Master File - Rate Card'!$B:$K,10,0),"")</f>
        <v>28.001792114695338</v>
      </c>
      <c r="S150" s="112" t="s">
        <v>442</v>
      </c>
      <c r="T150" s="114">
        <f t="shared" si="8"/>
        <v>119</v>
      </c>
      <c r="U150" s="115">
        <f t="shared" si="9"/>
        <v>28.001792114695338</v>
      </c>
    </row>
    <row r="151" spans="15:21" ht="15" customHeight="1">
      <c r="O151" s="112" t="s">
        <v>179</v>
      </c>
      <c r="P151" s="112" t="s">
        <v>244</v>
      </c>
      <c r="Q151" s="113">
        <f>IFERROR(VLOOKUP($P151,'Master File - Rate Card'!$B:$G,6,0),"")</f>
        <v>149</v>
      </c>
      <c r="R151" s="113">
        <f>IFERROR(VLOOKUP($P151,'Master File - Rate Card'!$B:$K,10,0),"")</f>
        <v>35.002240143369178</v>
      </c>
      <c r="S151" s="112" t="s">
        <v>443</v>
      </c>
      <c r="T151" s="114">
        <f t="shared" si="8"/>
        <v>149</v>
      </c>
      <c r="U151" s="115">
        <f t="shared" si="9"/>
        <v>35.002240143369178</v>
      </c>
    </row>
    <row r="152" spans="15:21" ht="15" customHeight="1">
      <c r="O152" s="112" t="s">
        <v>179</v>
      </c>
      <c r="P152" s="112" t="s">
        <v>249</v>
      </c>
      <c r="Q152" s="113">
        <f>IFERROR(VLOOKUP($P152,'Master File - Rate Card'!$B:$G,6,0),"")</f>
        <v>75.599999999999994</v>
      </c>
      <c r="R152" s="113">
        <f>IFERROR(VLOOKUP($P152,'Master File - Rate Card'!$B:$K,10,0),"")</f>
        <v>12.040770609318997</v>
      </c>
      <c r="S152" s="112" t="s">
        <v>444</v>
      </c>
      <c r="T152" s="114">
        <f t="shared" si="8"/>
        <v>75.599999999999994</v>
      </c>
      <c r="U152" s="115">
        <f t="shared" si="9"/>
        <v>12.040770609318997</v>
      </c>
    </row>
    <row r="153" spans="15:21" ht="15" customHeight="1">
      <c r="O153" s="112" t="s">
        <v>179</v>
      </c>
      <c r="P153" s="112" t="s">
        <v>254</v>
      </c>
      <c r="Q153" s="113">
        <f>IFERROR(VLOOKUP($P153,'Master File - Rate Card'!$B:$G,6,0),"")</f>
        <v>141</v>
      </c>
      <c r="R153" s="113">
        <f>IFERROR(VLOOKUP($P153,'Master File - Rate Card'!$B:$K,10,0),"")</f>
        <v>17.641129032258064</v>
      </c>
      <c r="S153" s="112" t="s">
        <v>445</v>
      </c>
      <c r="T153" s="114">
        <f t="shared" si="8"/>
        <v>141</v>
      </c>
      <c r="U153" s="115">
        <f t="shared" si="9"/>
        <v>17.641129032258064</v>
      </c>
    </row>
    <row r="154" spans="15:21" ht="15" customHeight="1">
      <c r="O154" s="112" t="s">
        <v>179</v>
      </c>
      <c r="P154" s="112" t="s">
        <v>259</v>
      </c>
      <c r="Q154" s="113">
        <f>IFERROR(VLOOKUP($P154,'Master File - Rate Card'!$B:$G,6,0),"")</f>
        <v>141</v>
      </c>
      <c r="R154" s="113">
        <f>IFERROR(VLOOKUP($P154,'Master File - Rate Card'!$B:$K,10,0),"")</f>
        <v>23.241487455197134</v>
      </c>
      <c r="S154" s="112" t="s">
        <v>446</v>
      </c>
      <c r="T154" s="114">
        <f t="shared" si="8"/>
        <v>141</v>
      </c>
      <c r="U154" s="115">
        <f t="shared" si="9"/>
        <v>23.241487455197134</v>
      </c>
    </row>
    <row r="155" spans="15:21" ht="15" customHeight="1">
      <c r="O155" s="112" t="s">
        <v>179</v>
      </c>
      <c r="P155" s="112" t="s">
        <v>263</v>
      </c>
      <c r="Q155" s="113">
        <f>IFERROR(VLOOKUP($P155,'Master File - Rate Card'!$B:$G,6,0),"")</f>
        <v>141</v>
      </c>
      <c r="R155" s="113">
        <f>IFERROR(VLOOKUP($P155,'Master File - Rate Card'!$B:$K,10,0),"")</f>
        <v>28.281810035842295</v>
      </c>
      <c r="S155" s="112" t="s">
        <v>447</v>
      </c>
      <c r="T155" s="114">
        <f t="shared" si="8"/>
        <v>141</v>
      </c>
      <c r="U155" s="115">
        <f t="shared" si="9"/>
        <v>28.281810035842295</v>
      </c>
    </row>
    <row r="156" spans="15:21" ht="15" customHeight="1">
      <c r="O156" s="112" t="s">
        <v>187</v>
      </c>
      <c r="P156" s="112" t="s">
        <v>158</v>
      </c>
      <c r="Q156" s="113">
        <f ca="1">IFERROR(VLOOKUP($P156,'Master File - Rate Card'!$B:$G,6,0),"")</f>
        <v>60</v>
      </c>
      <c r="R156" s="113">
        <f>IFERROR(VLOOKUP($P156,'Master File - Rate Card'!$B:$K,10,0),"")</f>
        <v>12.193548387096774</v>
      </c>
      <c r="S156" s="112" t="s">
        <v>448</v>
      </c>
      <c r="T156" s="114">
        <f t="shared" ca="1" si="8"/>
        <v>60</v>
      </c>
      <c r="U156" s="115">
        <f t="shared" si="9"/>
        <v>12.193548387096774</v>
      </c>
    </row>
    <row r="157" spans="15:21" ht="15" customHeight="1">
      <c r="O157" s="112" t="s">
        <v>187</v>
      </c>
      <c r="P157" s="112" t="s">
        <v>167</v>
      </c>
      <c r="Q157" s="113">
        <f>IFERROR(VLOOKUP($P157,'Master File - Rate Card'!$B:$G,6,0),"")</f>
        <v>100</v>
      </c>
      <c r="R157" s="113">
        <f>IFERROR(VLOOKUP($P157,'Master File - Rate Card'!$B:$K,10,0),"")</f>
        <v>17.070967741935483</v>
      </c>
      <c r="S157" s="112" t="s">
        <v>449</v>
      </c>
      <c r="T157" s="114">
        <f t="shared" si="8"/>
        <v>100</v>
      </c>
      <c r="U157" s="115">
        <f t="shared" si="9"/>
        <v>17.070967741935483</v>
      </c>
    </row>
    <row r="158" spans="15:21" ht="15" customHeight="1">
      <c r="O158" s="112" t="s">
        <v>187</v>
      </c>
      <c r="P158" s="112" t="s">
        <v>176</v>
      </c>
      <c r="Q158" s="113">
        <f>IFERROR(VLOOKUP($P158,'Master File - Rate Card'!$B:$G,6,0),"")</f>
        <v>150</v>
      </c>
      <c r="R158" s="113">
        <f>IFERROR(VLOOKUP($P158,'Master File - Rate Card'!$B:$K,10,0),"")</f>
        <v>24.387096774193548</v>
      </c>
      <c r="S158" s="112" t="s">
        <v>450</v>
      </c>
      <c r="T158" s="114">
        <f t="shared" si="8"/>
        <v>150</v>
      </c>
      <c r="U158" s="115">
        <f t="shared" si="9"/>
        <v>24.387096774193548</v>
      </c>
    </row>
    <row r="159" spans="15:21" ht="15" customHeight="1">
      <c r="O159" s="112" t="s">
        <v>187</v>
      </c>
      <c r="P159" s="112" t="s">
        <v>184</v>
      </c>
      <c r="Q159" s="113">
        <f>IFERROR(VLOOKUP($P159,'Master File - Rate Card'!$B:$G,6,0),"")</f>
        <v>180</v>
      </c>
      <c r="R159" s="113">
        <f>IFERROR(VLOOKUP($P159,'Master File - Rate Card'!$B:$K,10,0),"")</f>
        <v>26.419354838709676</v>
      </c>
      <c r="S159" s="112" t="s">
        <v>451</v>
      </c>
      <c r="T159" s="114">
        <f t="shared" si="8"/>
        <v>180</v>
      </c>
      <c r="U159" s="115">
        <f t="shared" si="9"/>
        <v>26.419354838709676</v>
      </c>
    </row>
    <row r="160" spans="15:21" ht="15" customHeight="1">
      <c r="O160" s="112" t="s">
        <v>187</v>
      </c>
      <c r="P160" s="112" t="s">
        <v>192</v>
      </c>
      <c r="Q160" s="113">
        <f>IFERROR(VLOOKUP($P160,'Master File - Rate Card'!$B:$G,6,0),"")</f>
        <v>250</v>
      </c>
      <c r="R160" s="113">
        <f>IFERROR(VLOOKUP($P160,'Master File - Rate Card'!$B:$K,10,0),"")</f>
        <v>30.483870967741936</v>
      </c>
      <c r="S160" s="112" t="s">
        <v>452</v>
      </c>
      <c r="T160" s="114">
        <f t="shared" si="8"/>
        <v>250</v>
      </c>
      <c r="U160" s="115">
        <f t="shared" si="9"/>
        <v>30.483870967741936</v>
      </c>
    </row>
    <row r="161" spans="15:21" ht="15" customHeight="1">
      <c r="O161" s="112" t="s">
        <v>143</v>
      </c>
      <c r="P161" s="112" t="s">
        <v>159</v>
      </c>
      <c r="Q161" s="113">
        <f>IFERROR(VLOOKUP($P161,'Master File - Rate Card'!$B:$G,6,0),"")</f>
        <v>51.408000000000001</v>
      </c>
      <c r="R161" s="113">
        <f>IFERROR(VLOOKUP($P161,'Master File - Rate Card'!$B:$K,10,0),"")</f>
        <v>7.0004480286738344</v>
      </c>
      <c r="S161" s="112" t="s">
        <v>453</v>
      </c>
      <c r="T161" s="114">
        <f t="shared" si="8"/>
        <v>51.408000000000001</v>
      </c>
      <c r="U161" s="115">
        <f t="shared" si="9"/>
        <v>7.0004480286738344</v>
      </c>
    </row>
    <row r="162" spans="15:21" ht="15" customHeight="1">
      <c r="O162" s="112" t="s">
        <v>143</v>
      </c>
      <c r="P162" s="112" t="s">
        <v>168</v>
      </c>
      <c r="Q162" s="113">
        <f>IFERROR(VLOOKUP($P162,'Master File - Rate Card'!$B:$G,6,0),"")</f>
        <v>68.040000000000006</v>
      </c>
      <c r="R162" s="113">
        <f>IFERROR(VLOOKUP($P162,'Master File - Rate Card'!$B:$K,10,0),"")</f>
        <v>13.160842293906809</v>
      </c>
      <c r="S162" s="112" t="s">
        <v>454</v>
      </c>
      <c r="T162" s="114">
        <f t="shared" si="8"/>
        <v>68.040000000000006</v>
      </c>
      <c r="U162" s="115">
        <f t="shared" si="9"/>
        <v>13.160842293906809</v>
      </c>
    </row>
    <row r="163" spans="15:21" ht="15" customHeight="1">
      <c r="O163" s="112" t="s">
        <v>144</v>
      </c>
      <c r="P163" s="112" t="s">
        <v>160</v>
      </c>
      <c r="Q163" s="113">
        <f>IFERROR(VLOOKUP($P163,'Master File - Rate Card'!$B:$G,6,0),"")</f>
        <v>60</v>
      </c>
      <c r="R163" s="113">
        <f>IFERROR(VLOOKUP($P163,'Master File - Rate Card'!$B:$K,10,0),"")</f>
        <v>3.6402329749103943</v>
      </c>
      <c r="S163" s="112" t="s">
        <v>455</v>
      </c>
      <c r="T163" s="114">
        <f t="shared" si="8"/>
        <v>60</v>
      </c>
      <c r="U163" s="115">
        <f t="shared" si="9"/>
        <v>3.6402329749103943</v>
      </c>
    </row>
    <row r="164" spans="15:21" ht="15" customHeight="1">
      <c r="O164" s="112" t="s">
        <v>144</v>
      </c>
      <c r="P164" s="112" t="s">
        <v>169</v>
      </c>
      <c r="Q164" s="113">
        <f>IFERROR(VLOOKUP($P164,'Master File - Rate Card'!$B:$G,6,0),"")</f>
        <v>70</v>
      </c>
      <c r="R164" s="113">
        <f>IFERROR(VLOOKUP($P164,'Master File - Rate Card'!$B:$K,10,0),"")</f>
        <v>5.6003584229390686</v>
      </c>
      <c r="S164" s="112" t="s">
        <v>456</v>
      </c>
      <c r="T164" s="114">
        <f t="shared" si="8"/>
        <v>70</v>
      </c>
      <c r="U164" s="115">
        <f t="shared" si="9"/>
        <v>5.6003584229390686</v>
      </c>
    </row>
    <row r="165" spans="15:21" ht="15" customHeight="1">
      <c r="O165" s="112" t="s">
        <v>144</v>
      </c>
      <c r="P165" s="112" t="s">
        <v>177</v>
      </c>
      <c r="Q165" s="113">
        <f>IFERROR(VLOOKUP($P165,'Master File - Rate Card'!$B:$G,6,0),"")</f>
        <v>72</v>
      </c>
      <c r="R165" s="113">
        <f>IFERROR(VLOOKUP($P165,'Master File - Rate Card'!$B:$K,10,0),"")</f>
        <v>8.9605734767025087</v>
      </c>
      <c r="S165" s="112" t="s">
        <v>457</v>
      </c>
      <c r="T165" s="114">
        <f t="shared" si="8"/>
        <v>72</v>
      </c>
      <c r="U165" s="115">
        <f t="shared" si="9"/>
        <v>8.9605734767025087</v>
      </c>
    </row>
    <row r="166" spans="15:21" ht="15" customHeight="1">
      <c r="O166" s="112" t="s">
        <v>144</v>
      </c>
      <c r="P166" s="112" t="s">
        <v>185</v>
      </c>
      <c r="Q166" s="113">
        <f>IFERROR(VLOOKUP($P166,'Master File - Rate Card'!$B:$G,6,0),"")</f>
        <v>80</v>
      </c>
      <c r="R166" s="113">
        <f>IFERROR(VLOOKUP($P166,'Master File - Rate Card'!$B:$K,10,0),"")</f>
        <v>14.000896057347669</v>
      </c>
      <c r="S166" s="112" t="s">
        <v>458</v>
      </c>
      <c r="T166" s="114">
        <f t="shared" si="8"/>
        <v>80</v>
      </c>
      <c r="U166" s="115">
        <f t="shared" si="9"/>
        <v>14.000896057347669</v>
      </c>
    </row>
    <row r="167" spans="15:21" ht="15" customHeight="1">
      <c r="O167" s="112" t="s">
        <v>144</v>
      </c>
      <c r="P167" s="112" t="s">
        <v>193</v>
      </c>
      <c r="Q167" s="113">
        <f>IFERROR(VLOOKUP($P167,'Master File - Rate Card'!$B:$G,6,0),"")</f>
        <v>60</v>
      </c>
      <c r="R167" s="113">
        <f>IFERROR(VLOOKUP($P167,'Master File - Rate Card'!$B:$K,10,0),"")</f>
        <v>3.6402329749103943</v>
      </c>
      <c r="S167" s="112" t="s">
        <v>459</v>
      </c>
      <c r="T167" s="114">
        <f t="shared" si="8"/>
        <v>60</v>
      </c>
      <c r="U167" s="115">
        <f t="shared" si="9"/>
        <v>3.6402329749103943</v>
      </c>
    </row>
    <row r="168" spans="15:21" ht="15" customHeight="1">
      <c r="O168" s="112" t="s">
        <v>144</v>
      </c>
      <c r="P168" s="112" t="s">
        <v>198</v>
      </c>
      <c r="Q168" s="113">
        <f>IFERROR(VLOOKUP($P168,'Master File - Rate Card'!$B:$G,6,0),"")</f>
        <v>70</v>
      </c>
      <c r="R168" s="113">
        <f>IFERROR(VLOOKUP($P168,'Master File - Rate Card'!$B:$K,10,0),"")</f>
        <v>5.6003584229390686</v>
      </c>
      <c r="S168" s="112" t="s">
        <v>460</v>
      </c>
      <c r="T168" s="114">
        <f t="shared" si="8"/>
        <v>70</v>
      </c>
      <c r="U168" s="115">
        <f t="shared" si="9"/>
        <v>5.6003584229390686</v>
      </c>
    </row>
    <row r="169" spans="15:21" ht="15" customHeight="1">
      <c r="O169" s="112" t="s">
        <v>144</v>
      </c>
      <c r="P169" s="112" t="s">
        <v>204</v>
      </c>
      <c r="Q169" s="113">
        <f>IFERROR(VLOOKUP($P169,'Master File - Rate Card'!$B:$G,6,0),"")</f>
        <v>72</v>
      </c>
      <c r="R169" s="113">
        <f>IFERROR(VLOOKUP($P169,'Master File - Rate Card'!$B:$K,10,0),"")</f>
        <v>8.9605734767025087</v>
      </c>
      <c r="S169" s="112" t="s">
        <v>461</v>
      </c>
      <c r="T169" s="114">
        <f t="shared" si="8"/>
        <v>72</v>
      </c>
      <c r="U169" s="115">
        <f t="shared" si="9"/>
        <v>8.9605734767025087</v>
      </c>
    </row>
    <row r="170" spans="15:21" ht="15" customHeight="1">
      <c r="O170" s="112" t="s">
        <v>144</v>
      </c>
      <c r="P170" s="112" t="s">
        <v>210</v>
      </c>
      <c r="Q170" s="113">
        <f>IFERROR(VLOOKUP($P170,'Master File - Rate Card'!$B:$G,6,0),"")</f>
        <v>80</v>
      </c>
      <c r="R170" s="113">
        <f>IFERROR(VLOOKUP($P170,'Master File - Rate Card'!$B:$K,10,0),"")</f>
        <v>14.000896057347669</v>
      </c>
      <c r="S170" s="112" t="s">
        <v>462</v>
      </c>
      <c r="T170" s="114">
        <f t="shared" si="8"/>
        <v>80</v>
      </c>
      <c r="U170" s="115">
        <f t="shared" si="9"/>
        <v>14.000896057347669</v>
      </c>
    </row>
    <row r="171" spans="15:21" ht="15" customHeight="1">
      <c r="O171" s="112" t="s">
        <v>144</v>
      </c>
      <c r="P171" s="112" t="s">
        <v>216</v>
      </c>
      <c r="Q171" s="113">
        <f>IFERROR(VLOOKUP($P171,'Master File - Rate Card'!$B:$G,6,0),"")</f>
        <v>49.479166666666664</v>
      </c>
      <c r="R171" s="113">
        <f ca="1">IFERROR(VLOOKUP($P171,'Master File - Rate Card'!$B:$K,10,0),"")</f>
        <v>4.3557042302599482</v>
      </c>
      <c r="S171" s="112" t="s">
        <v>463</v>
      </c>
      <c r="T171" s="114">
        <f t="shared" si="8"/>
        <v>49.479166666666664</v>
      </c>
      <c r="U171" s="115">
        <f t="shared" ca="1" si="9"/>
        <v>4.3557042302599482</v>
      </c>
    </row>
    <row r="172" spans="15:21" ht="15" customHeight="1">
      <c r="O172" s="112" t="s">
        <v>144</v>
      </c>
      <c r="P172" s="112" t="s">
        <v>221</v>
      </c>
      <c r="Q172" s="113">
        <f>IFERROR(VLOOKUP($P172,'Master File - Rate Card'!$B:$G,6,0),"")</f>
        <v>54.6875</v>
      </c>
      <c r="R172" s="113">
        <f ca="1">IFERROR(VLOOKUP($P172,'Master File - Rate Card'!$B:$K,10,0),"")</f>
        <v>6.8057878597811703</v>
      </c>
      <c r="S172" s="112" t="s">
        <v>464</v>
      </c>
      <c r="T172" s="114">
        <f t="shared" si="8"/>
        <v>54.6875</v>
      </c>
      <c r="U172" s="115">
        <f t="shared" ca="1" si="9"/>
        <v>6.8057878597811703</v>
      </c>
    </row>
    <row r="173" spans="15:21" ht="15" customHeight="1">
      <c r="O173" s="112" t="s">
        <v>144</v>
      </c>
      <c r="P173" s="112" t="s">
        <v>227</v>
      </c>
      <c r="Q173" s="113">
        <f>IFERROR(VLOOKUP($P173,'Master File - Rate Card'!$B:$G,6,0),"")</f>
        <v>59.895833333333336</v>
      </c>
      <c r="R173" s="113">
        <f ca="1">IFERROR(VLOOKUP($P173,'Master File - Rate Card'!$B:$K,10,0),"")</f>
        <v>10.07256603247613</v>
      </c>
      <c r="S173" s="112" t="s">
        <v>465</v>
      </c>
      <c r="T173" s="114">
        <f t="shared" si="8"/>
        <v>59.895833333333336</v>
      </c>
      <c r="U173" s="115">
        <f t="shared" ca="1" si="9"/>
        <v>10.07256603247613</v>
      </c>
    </row>
    <row r="174" spans="15:21" ht="15" customHeight="1">
      <c r="O174" s="112" t="s">
        <v>144</v>
      </c>
      <c r="P174" s="112" t="s">
        <v>232</v>
      </c>
      <c r="Q174" s="113">
        <f>IFERROR(VLOOKUP($P174,'Master File - Rate Card'!$B:$G,6,0),"")</f>
        <v>70.3125</v>
      </c>
      <c r="R174" s="113">
        <f ca="1">IFERROR(VLOOKUP($P174,'Master File - Rate Card'!$B:$K,10,0),"")</f>
        <v>14.700501777127327</v>
      </c>
      <c r="S174" s="112" t="s">
        <v>466</v>
      </c>
      <c r="T174" s="114">
        <f t="shared" si="8"/>
        <v>70.3125</v>
      </c>
      <c r="U174" s="115">
        <f t="shared" ca="1" si="9"/>
        <v>14.700501777127327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H17"/>
  <sheetViews>
    <sheetView showGridLines="0" zoomScale="66" zoomScaleNormal="66" workbookViewId="0">
      <selection activeCell="G8" sqref="G8"/>
    </sheetView>
  </sheetViews>
  <sheetFormatPr defaultColWidth="8.5703125" defaultRowHeight="14.45"/>
  <cols>
    <col min="1" max="1" width="3.42578125" customWidth="1"/>
    <col min="2" max="2" width="28" customWidth="1"/>
    <col min="3" max="3" width="20" customWidth="1"/>
    <col min="4" max="4" width="18" customWidth="1"/>
    <col min="5" max="5" width="16" customWidth="1"/>
    <col min="6" max="6" width="12" customWidth="1"/>
    <col min="7" max="7" width="16" customWidth="1"/>
    <col min="8" max="8" width="25" customWidth="1"/>
  </cols>
  <sheetData>
    <row r="2" spans="2:8" ht="30" customHeight="1">
      <c r="B2" s="188" t="s">
        <v>467</v>
      </c>
      <c r="C2" s="188"/>
      <c r="D2" s="188"/>
      <c r="E2" s="188"/>
      <c r="F2" s="188"/>
      <c r="G2" s="188"/>
      <c r="H2" s="188"/>
    </row>
    <row r="3" spans="2:8" ht="18" customHeight="1">
      <c r="B3" s="168" t="s">
        <v>468</v>
      </c>
      <c r="C3" s="168"/>
      <c r="D3" s="168"/>
      <c r="E3" s="168"/>
      <c r="F3" s="168"/>
      <c r="G3" s="168"/>
      <c r="H3" s="168"/>
    </row>
    <row r="4" spans="2:8" ht="36" customHeight="1">
      <c r="B4" s="117" t="s">
        <v>469</v>
      </c>
      <c r="C4" s="117" t="s">
        <v>470</v>
      </c>
      <c r="D4" s="117" t="s">
        <v>471</v>
      </c>
      <c r="E4" s="117" t="s">
        <v>472</v>
      </c>
      <c r="F4" s="117" t="s">
        <v>473</v>
      </c>
      <c r="G4" s="117" t="s">
        <v>474</v>
      </c>
      <c r="H4" s="117" t="s">
        <v>100</v>
      </c>
    </row>
    <row r="5" spans="2:8" ht="15" customHeight="1">
      <c r="B5" s="118"/>
      <c r="C5" s="118"/>
      <c r="D5" s="118"/>
      <c r="E5" s="119"/>
      <c r="F5" s="118">
        <v>1</v>
      </c>
      <c r="G5" s="120">
        <f t="shared" ref="G5:G13" si="0">IFERROR(E5*F5,"-")</f>
        <v>0</v>
      </c>
      <c r="H5" s="118"/>
    </row>
    <row r="6" spans="2:8" ht="15" customHeight="1">
      <c r="B6" s="121"/>
      <c r="C6" s="121"/>
      <c r="D6" s="121"/>
      <c r="E6" s="122"/>
      <c r="F6" s="121"/>
      <c r="G6" s="122">
        <f t="shared" si="0"/>
        <v>0</v>
      </c>
      <c r="H6" s="121"/>
    </row>
    <row r="7" spans="2:8" ht="15" customHeight="1">
      <c r="B7" s="118"/>
      <c r="C7" s="118"/>
      <c r="D7" s="118"/>
      <c r="E7" s="120"/>
      <c r="F7" s="118"/>
      <c r="G7" s="120">
        <f t="shared" si="0"/>
        <v>0</v>
      </c>
      <c r="H7" s="118"/>
    </row>
    <row r="8" spans="2:8" ht="15" customHeight="1">
      <c r="B8" s="121"/>
      <c r="C8" s="121"/>
      <c r="D8" s="121"/>
      <c r="E8" s="122"/>
      <c r="F8" s="121"/>
      <c r="G8" s="122">
        <f t="shared" si="0"/>
        <v>0</v>
      </c>
      <c r="H8" s="121"/>
    </row>
    <row r="9" spans="2:8" ht="15" customHeight="1">
      <c r="B9" s="118"/>
      <c r="C9" s="118"/>
      <c r="D9" s="118"/>
      <c r="E9" s="120"/>
      <c r="F9" s="118"/>
      <c r="G9" s="120">
        <f t="shared" si="0"/>
        <v>0</v>
      </c>
      <c r="H9" s="118"/>
    </row>
    <row r="10" spans="2:8" ht="15" customHeight="1">
      <c r="B10" s="121"/>
      <c r="C10" s="121"/>
      <c r="D10" s="121"/>
      <c r="E10" s="122"/>
      <c r="F10" s="121"/>
      <c r="G10" s="122">
        <f t="shared" si="0"/>
        <v>0</v>
      </c>
      <c r="H10" s="121"/>
    </row>
    <row r="11" spans="2:8" ht="15" customHeight="1">
      <c r="B11" s="118"/>
      <c r="C11" s="118"/>
      <c r="D11" s="118"/>
      <c r="E11" s="120"/>
      <c r="F11" s="118"/>
      <c r="G11" s="120">
        <f t="shared" si="0"/>
        <v>0</v>
      </c>
      <c r="H11" s="118"/>
    </row>
    <row r="12" spans="2:8" ht="15" customHeight="1">
      <c r="B12" s="121"/>
      <c r="C12" s="121"/>
      <c r="D12" s="121"/>
      <c r="E12" s="122"/>
      <c r="F12" s="121"/>
      <c r="G12" s="122">
        <f t="shared" si="0"/>
        <v>0</v>
      </c>
      <c r="H12" s="121"/>
    </row>
    <row r="13" spans="2:8" ht="15" customHeight="1">
      <c r="B13" s="118"/>
      <c r="C13" s="118"/>
      <c r="D13" s="118"/>
      <c r="E13" s="120"/>
      <c r="F13" s="118"/>
      <c r="G13" s="120">
        <f t="shared" si="0"/>
        <v>0</v>
      </c>
      <c r="H13" s="118"/>
    </row>
    <row r="14" spans="2:8" ht="15" customHeight="1">
      <c r="B14" s="189"/>
      <c r="C14" s="189"/>
      <c r="D14" s="189"/>
      <c r="E14" s="189"/>
      <c r="F14" s="189"/>
      <c r="G14" s="189"/>
      <c r="H14" s="189"/>
    </row>
    <row r="15" spans="2:8" ht="15" customHeight="1">
      <c r="B15" s="190" t="s">
        <v>475</v>
      </c>
      <c r="C15" s="190"/>
      <c r="D15" s="190"/>
      <c r="E15" s="190"/>
      <c r="F15" s="190"/>
      <c r="G15" s="123">
        <f>SUM(G5:G13)</f>
        <v>0</v>
      </c>
    </row>
    <row r="16" spans="2:8" ht="15" customHeight="1">
      <c r="B16" s="191" t="s">
        <v>476</v>
      </c>
      <c r="C16" s="191"/>
      <c r="D16" s="191"/>
      <c r="E16" s="191"/>
      <c r="F16" s="191"/>
      <c r="G16" s="124"/>
      <c r="H16" s="109" t="s">
        <v>477</v>
      </c>
    </row>
    <row r="17" spans="2:7" ht="15" customHeight="1">
      <c r="B17" s="192" t="s">
        <v>478</v>
      </c>
      <c r="C17" s="192"/>
      <c r="D17" s="192"/>
      <c r="E17" s="192"/>
      <c r="F17" s="192"/>
      <c r="G17" s="125" t="str">
        <f>IFERROR((G16-G15)/G16, "-")</f>
        <v>-</v>
      </c>
    </row>
  </sheetData>
  <mergeCells count="6">
    <mergeCell ref="B17:F17"/>
    <mergeCell ref="B2:H2"/>
    <mergeCell ref="B3:H3"/>
    <mergeCell ref="B14:H14"/>
    <mergeCell ref="B15:F15"/>
    <mergeCell ref="B16:F16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77"/>
  <sheetViews>
    <sheetView zoomScale="64" zoomScaleNormal="80" workbookViewId="0">
      <selection activeCell="A6" sqref="A6"/>
    </sheetView>
  </sheetViews>
  <sheetFormatPr defaultColWidth="8.5703125" defaultRowHeight="14.45"/>
  <cols>
    <col min="1" max="1" width="19" customWidth="1"/>
    <col min="2" max="2" width="35.7109375" customWidth="1"/>
    <col min="3" max="3" width="24.5703125" customWidth="1"/>
    <col min="4" max="4" width="14.5703125" style="126" customWidth="1"/>
    <col min="5" max="5" width="32.28515625" bestFit="1" customWidth="1"/>
    <col min="6" max="6" width="15.28515625" customWidth="1"/>
    <col min="7" max="7" width="17.7109375" customWidth="1"/>
    <col min="8" max="8" width="11.28515625" customWidth="1"/>
    <col min="9" max="9" width="10.28515625" style="127" customWidth="1"/>
    <col min="10" max="10" width="16.7109375" style="127" customWidth="1"/>
    <col min="11" max="11" width="21.42578125" style="127" customWidth="1"/>
    <col min="12" max="12" width="13" customWidth="1"/>
    <col min="15" max="15" width="11.7109375" customWidth="1"/>
    <col min="16" max="16" width="43.28515625" customWidth="1"/>
    <col min="17" max="17" width="31.5703125" customWidth="1"/>
    <col min="18" max="18" width="15.28515625" customWidth="1"/>
    <col min="19" max="19" width="25.42578125" customWidth="1"/>
    <col min="20" max="20" width="20.5703125" customWidth="1"/>
    <col min="21" max="21" width="19.28515625" customWidth="1"/>
  </cols>
  <sheetData>
    <row r="1" spans="1:12" ht="15" customHeight="1">
      <c r="A1" s="128" t="s">
        <v>479</v>
      </c>
      <c r="B1" s="164" cm="1">
        <f t="array" aca="1" ref="B1" ca="1">_FV(D1,"Price")</f>
        <v>95.66</v>
      </c>
      <c r="C1" s="129"/>
      <c r="D1" s="163" t="e" vm="1">
        <v>#VALUE!</v>
      </c>
      <c r="E1" s="129"/>
      <c r="F1" s="130" t="s">
        <v>480</v>
      </c>
      <c r="G1" s="130"/>
      <c r="H1" s="130" t="s">
        <v>481</v>
      </c>
      <c r="I1" s="131"/>
      <c r="J1" s="131"/>
      <c r="K1" s="131"/>
    </row>
    <row r="2" spans="1:12" ht="15" customHeight="1">
      <c r="A2" s="132"/>
      <c r="B2" s="133"/>
      <c r="C2" s="133"/>
      <c r="D2" s="134"/>
      <c r="E2" s="134"/>
      <c r="F2" s="135" t="s">
        <v>482</v>
      </c>
      <c r="G2" s="135"/>
      <c r="H2" s="136" t="s">
        <v>482</v>
      </c>
      <c r="I2" s="137"/>
      <c r="J2" s="137"/>
      <c r="K2" s="137"/>
    </row>
    <row r="3" spans="1:12" ht="14.25" customHeight="1">
      <c r="A3" s="138" t="s">
        <v>89</v>
      </c>
      <c r="B3" s="138" t="s">
        <v>483</v>
      </c>
      <c r="C3" s="138" t="s">
        <v>90</v>
      </c>
      <c r="D3" s="139" t="s">
        <v>484</v>
      </c>
      <c r="E3" s="140" t="s">
        <v>485</v>
      </c>
      <c r="F3" s="141" t="s">
        <v>486</v>
      </c>
      <c r="G3" s="141" t="s">
        <v>487</v>
      </c>
      <c r="H3" s="142" t="s">
        <v>488</v>
      </c>
      <c r="I3" s="141" t="s">
        <v>489</v>
      </c>
      <c r="J3" s="142" t="s">
        <v>490</v>
      </c>
      <c r="K3" s="141" t="s">
        <v>491</v>
      </c>
      <c r="L3" t="s">
        <v>492</v>
      </c>
    </row>
    <row r="4" spans="1:12" ht="14.25" customHeight="1">
      <c r="A4" s="143" t="s">
        <v>153</v>
      </c>
      <c r="B4" s="143" t="str">
        <f t="shared" ref="B4:B35" si="0">CONCATENATE(C4, " | ",D4)</f>
        <v>Application Architect 1 | 5-10 Years</v>
      </c>
      <c r="C4" s="143" t="s">
        <v>493</v>
      </c>
      <c r="D4" s="144" t="s">
        <v>494</v>
      </c>
      <c r="E4" s="145" t="s">
        <v>495</v>
      </c>
      <c r="F4" s="146">
        <v>182400</v>
      </c>
      <c r="G4" s="146">
        <f t="shared" ref="G4:G35" si="1">F4/1920</f>
        <v>95</v>
      </c>
      <c r="H4" s="147">
        <v>3650000</v>
      </c>
      <c r="I4" s="147">
        <f>H4/1920</f>
        <v>1901.0416666666667</v>
      </c>
      <c r="J4" s="146">
        <f t="shared" ref="J4:J9" ca="1" si="2">H4/$B$1</f>
        <v>38155.969057077149</v>
      </c>
      <c r="K4" s="146">
        <f>I4/93</f>
        <v>20.441308243727601</v>
      </c>
      <c r="L4" t="s">
        <v>496</v>
      </c>
    </row>
    <row r="5" spans="1:12" ht="14.25" customHeight="1">
      <c r="A5" s="143" t="s">
        <v>153</v>
      </c>
      <c r="B5" s="143" t="str">
        <f t="shared" si="0"/>
        <v>Application Architect 2 | 10-15 Years</v>
      </c>
      <c r="C5" s="143" t="s">
        <v>497</v>
      </c>
      <c r="D5" s="144" t="s">
        <v>498</v>
      </c>
      <c r="E5" s="145" t="s">
        <v>495</v>
      </c>
      <c r="F5" s="146">
        <v>230400</v>
      </c>
      <c r="G5" s="146">
        <f t="shared" si="1"/>
        <v>120</v>
      </c>
      <c r="H5" s="147">
        <v>5750000</v>
      </c>
      <c r="I5" s="147">
        <f t="shared" ref="I5:I35" si="3">H5/1920</f>
        <v>2994.7916666666665</v>
      </c>
      <c r="J5" s="146">
        <f t="shared" ca="1" si="2"/>
        <v>60108.718377587291</v>
      </c>
      <c r="K5" s="146">
        <f t="shared" ref="K5:K35" si="4">I5/93</f>
        <v>32.202060931899638</v>
      </c>
      <c r="L5" t="s">
        <v>496</v>
      </c>
    </row>
    <row r="6" spans="1:12" ht="14.25" customHeight="1">
      <c r="A6" s="143" t="s">
        <v>153</v>
      </c>
      <c r="B6" s="143" t="str">
        <f t="shared" si="0"/>
        <v>Application Architect 3 | 15+ Years</v>
      </c>
      <c r="C6" s="143" t="s">
        <v>499</v>
      </c>
      <c r="D6" s="148" t="s">
        <v>500</v>
      </c>
      <c r="E6" s="145" t="s">
        <v>495</v>
      </c>
      <c r="F6" s="146">
        <v>345600</v>
      </c>
      <c r="G6" s="146">
        <f t="shared" si="1"/>
        <v>180</v>
      </c>
      <c r="H6" s="147">
        <v>9750000</v>
      </c>
      <c r="I6" s="147">
        <f t="shared" si="3"/>
        <v>5078.125</v>
      </c>
      <c r="J6" s="146">
        <f t="shared" ca="1" si="2"/>
        <v>101923.4789880828</v>
      </c>
      <c r="K6" s="146">
        <f t="shared" si="4"/>
        <v>54.603494623655912</v>
      </c>
      <c r="L6" t="s">
        <v>496</v>
      </c>
    </row>
    <row r="7" spans="1:12" ht="14.25" customHeight="1">
      <c r="A7" s="143" t="s">
        <v>153</v>
      </c>
      <c r="B7" s="143" t="str">
        <f t="shared" si="0"/>
        <v>BI Architect 1 | 5-10 Years</v>
      </c>
      <c r="C7" s="143" t="s">
        <v>501</v>
      </c>
      <c r="D7" s="144" t="s">
        <v>494</v>
      </c>
      <c r="E7" s="145" t="s">
        <v>495</v>
      </c>
      <c r="F7" s="146">
        <v>241920</v>
      </c>
      <c r="G7" s="146">
        <f t="shared" si="1"/>
        <v>126</v>
      </c>
      <c r="H7" s="147">
        <v>3750000</v>
      </c>
      <c r="I7" s="147">
        <f t="shared" si="3"/>
        <v>1953.125</v>
      </c>
      <c r="J7" s="146">
        <f t="shared" ca="1" si="2"/>
        <v>39201.338072339538</v>
      </c>
      <c r="K7" s="146">
        <f t="shared" si="4"/>
        <v>21.001344086021504</v>
      </c>
      <c r="L7" t="s">
        <v>496</v>
      </c>
    </row>
    <row r="8" spans="1:12" ht="14.25" customHeight="1">
      <c r="A8" s="143" t="s">
        <v>153</v>
      </c>
      <c r="B8" s="143" t="str">
        <f t="shared" si="0"/>
        <v>BI Architect 2 | 10-15 Years</v>
      </c>
      <c r="C8" s="143" t="s">
        <v>502</v>
      </c>
      <c r="D8" s="144" t="s">
        <v>498</v>
      </c>
      <c r="E8" s="145" t="s">
        <v>495</v>
      </c>
      <c r="F8" s="146">
        <v>241920</v>
      </c>
      <c r="G8" s="146">
        <f t="shared" si="1"/>
        <v>126</v>
      </c>
      <c r="H8" s="147">
        <v>6000000</v>
      </c>
      <c r="I8" s="147">
        <f t="shared" si="3"/>
        <v>3125</v>
      </c>
      <c r="J8" s="146">
        <f t="shared" ca="1" si="2"/>
        <v>62722.140915743257</v>
      </c>
      <c r="K8" s="146">
        <f t="shared" si="4"/>
        <v>33.602150537634408</v>
      </c>
      <c r="L8" t="s">
        <v>496</v>
      </c>
    </row>
    <row r="9" spans="1:12" ht="14.25" customHeight="1">
      <c r="A9" s="143" t="s">
        <v>153</v>
      </c>
      <c r="B9" s="143" t="str">
        <f t="shared" si="0"/>
        <v>BI Architect 3 | 15+ Years</v>
      </c>
      <c r="C9" s="143" t="s">
        <v>503</v>
      </c>
      <c r="D9" s="148" t="s">
        <v>500</v>
      </c>
      <c r="E9" s="145" t="s">
        <v>495</v>
      </c>
      <c r="F9" s="146">
        <v>241920</v>
      </c>
      <c r="G9" s="146">
        <f t="shared" si="1"/>
        <v>126</v>
      </c>
      <c r="H9" s="147">
        <v>8250000</v>
      </c>
      <c r="I9" s="147">
        <f t="shared" si="3"/>
        <v>4296.875</v>
      </c>
      <c r="J9" s="146">
        <f t="shared" ca="1" si="2"/>
        <v>86242.943759146976</v>
      </c>
      <c r="K9" s="146">
        <f t="shared" si="4"/>
        <v>46.202956989247312</v>
      </c>
      <c r="L9" t="s">
        <v>496</v>
      </c>
    </row>
    <row r="10" spans="1:12" ht="14.25" customHeight="1">
      <c r="A10" s="143" t="s">
        <v>153</v>
      </c>
      <c r="B10" s="143" t="str">
        <f t="shared" si="0"/>
        <v>Data Architect 1 | 5-10 Years</v>
      </c>
      <c r="C10" s="143" t="s">
        <v>504</v>
      </c>
      <c r="D10" s="144" t="s">
        <v>494</v>
      </c>
      <c r="E10" s="145" t="s">
        <v>495</v>
      </c>
      <c r="F10" s="146">
        <v>160000</v>
      </c>
      <c r="G10" s="146">
        <f t="shared" si="1"/>
        <v>83.333333333333329</v>
      </c>
      <c r="H10" s="147">
        <v>3400000</v>
      </c>
      <c r="I10" s="147">
        <f t="shared" si="3"/>
        <v>1770.8333333333333</v>
      </c>
      <c r="J10" s="146">
        <f ca="1">H10/B1</f>
        <v>35542.546518921183</v>
      </c>
      <c r="K10" s="146">
        <f t="shared" si="4"/>
        <v>19.041218637992831</v>
      </c>
      <c r="L10" t="s">
        <v>505</v>
      </c>
    </row>
    <row r="11" spans="1:12" ht="14.25" customHeight="1">
      <c r="A11" s="143" t="s">
        <v>153</v>
      </c>
      <c r="B11" s="143" t="str">
        <f t="shared" si="0"/>
        <v>Data Architect 2 | 10-15 Years</v>
      </c>
      <c r="C11" s="143" t="s">
        <v>506</v>
      </c>
      <c r="D11" s="144" t="s">
        <v>498</v>
      </c>
      <c r="E11" s="145" t="s">
        <v>495</v>
      </c>
      <c r="F11" s="146">
        <v>190000</v>
      </c>
      <c r="G11" s="146">
        <f t="shared" si="1"/>
        <v>98.958333333333329</v>
      </c>
      <c r="H11" s="147">
        <v>4100000</v>
      </c>
      <c r="I11" s="147">
        <f t="shared" si="3"/>
        <v>2135.4166666666665</v>
      </c>
      <c r="J11" s="146">
        <f ca="1">H11/B1</f>
        <v>42860.129625757894</v>
      </c>
      <c r="K11" s="146">
        <f t="shared" si="4"/>
        <v>22.961469534050178</v>
      </c>
      <c r="L11" t="s">
        <v>505</v>
      </c>
    </row>
    <row r="12" spans="1:12" ht="14.25" customHeight="1">
      <c r="A12" s="143" t="s">
        <v>153</v>
      </c>
      <c r="B12" s="143" t="str">
        <f t="shared" si="0"/>
        <v>Data Architect 3 | 15+ Years</v>
      </c>
      <c r="C12" s="143" t="s">
        <v>507</v>
      </c>
      <c r="D12" s="148" t="s">
        <v>500</v>
      </c>
      <c r="E12" s="145" t="s">
        <v>495</v>
      </c>
      <c r="F12" s="146">
        <v>241920</v>
      </c>
      <c r="G12" s="146">
        <f t="shared" si="1"/>
        <v>126</v>
      </c>
      <c r="H12" s="147">
        <v>5800000</v>
      </c>
      <c r="I12" s="147">
        <f t="shared" si="3"/>
        <v>3020.8333333333335</v>
      </c>
      <c r="J12" s="146">
        <f ca="1">H12/B1</f>
        <v>60631.402885218486</v>
      </c>
      <c r="K12" s="146">
        <f t="shared" si="4"/>
        <v>32.482078853046595</v>
      </c>
      <c r="L12" t="s">
        <v>505</v>
      </c>
    </row>
    <row r="13" spans="1:12" ht="14.25" customHeight="1">
      <c r="A13" s="143" t="s">
        <v>153</v>
      </c>
      <c r="B13" s="143" t="str">
        <f t="shared" si="0"/>
        <v>Enterprise Architect 1 | 5-10 Years</v>
      </c>
      <c r="C13" s="143" t="s">
        <v>508</v>
      </c>
      <c r="D13" s="144" t="s">
        <v>494</v>
      </c>
      <c r="E13" s="145" t="s">
        <v>495</v>
      </c>
      <c r="F13" s="146">
        <v>190000</v>
      </c>
      <c r="G13" s="146">
        <f t="shared" si="1"/>
        <v>98.958333333333329</v>
      </c>
      <c r="H13" s="147">
        <v>4200000</v>
      </c>
      <c r="I13" s="147">
        <f t="shared" si="3"/>
        <v>2187.5</v>
      </c>
      <c r="J13" s="146">
        <f ca="1">H13/B1</f>
        <v>43905.498641020284</v>
      </c>
      <c r="K13" s="146">
        <f t="shared" si="4"/>
        <v>23.521505376344088</v>
      </c>
      <c r="L13" t="s">
        <v>505</v>
      </c>
    </row>
    <row r="14" spans="1:12" ht="14.25" customHeight="1">
      <c r="A14" s="143" t="s">
        <v>153</v>
      </c>
      <c r="B14" s="143" t="str">
        <f t="shared" si="0"/>
        <v>Enterprise Architect 2 | 10-15 Years</v>
      </c>
      <c r="C14" s="143" t="s">
        <v>509</v>
      </c>
      <c r="D14" s="144" t="s">
        <v>498</v>
      </c>
      <c r="E14" s="145" t="s">
        <v>495</v>
      </c>
      <c r="F14" s="146">
        <v>240000</v>
      </c>
      <c r="G14" s="146">
        <f t="shared" si="1"/>
        <v>125</v>
      </c>
      <c r="H14" s="147">
        <v>4650000</v>
      </c>
      <c r="I14" s="147">
        <f t="shared" si="3"/>
        <v>2421.875</v>
      </c>
      <c r="J14" s="146">
        <f ca="1">H14/B1</f>
        <v>48609.659209701029</v>
      </c>
      <c r="K14" s="146">
        <f t="shared" si="4"/>
        <v>26.041666666666668</v>
      </c>
      <c r="L14" t="s">
        <v>505</v>
      </c>
    </row>
    <row r="15" spans="1:12" ht="14.25" customHeight="1">
      <c r="A15" s="143" t="s">
        <v>153</v>
      </c>
      <c r="B15" s="143" t="str">
        <f t="shared" si="0"/>
        <v>Enterprise Architect 3 | 15+ Years</v>
      </c>
      <c r="C15" s="143" t="s">
        <v>510</v>
      </c>
      <c r="D15" s="148" t="s">
        <v>500</v>
      </c>
      <c r="E15" s="145" t="s">
        <v>495</v>
      </c>
      <c r="F15" s="146">
        <v>291840</v>
      </c>
      <c r="G15" s="146">
        <f t="shared" si="1"/>
        <v>152</v>
      </c>
      <c r="H15" s="147">
        <v>6100000</v>
      </c>
      <c r="I15" s="147">
        <f t="shared" si="3"/>
        <v>3177.0833333333335</v>
      </c>
      <c r="J15" s="146">
        <f ca="1">H15/B1</f>
        <v>63767.509931005647</v>
      </c>
      <c r="K15" s="146">
        <f t="shared" si="4"/>
        <v>34.162186379928315</v>
      </c>
      <c r="L15" t="s">
        <v>505</v>
      </c>
    </row>
    <row r="16" spans="1:12" ht="14.25" customHeight="1">
      <c r="A16" s="143" t="s">
        <v>153</v>
      </c>
      <c r="B16" s="143" t="str">
        <f t="shared" si="0"/>
        <v>Information Architect 1 | 5-10 Years</v>
      </c>
      <c r="C16" s="143" t="s">
        <v>511</v>
      </c>
      <c r="D16" s="144" t="s">
        <v>494</v>
      </c>
      <c r="E16" s="145" t="s">
        <v>495</v>
      </c>
      <c r="F16" s="146">
        <v>160000</v>
      </c>
      <c r="G16" s="146">
        <f t="shared" si="1"/>
        <v>83.333333333333329</v>
      </c>
      <c r="H16" s="147">
        <v>2750000</v>
      </c>
      <c r="I16" s="147">
        <f t="shared" si="3"/>
        <v>1432.2916666666667</v>
      </c>
      <c r="J16" s="146">
        <f ca="1">H16/B1</f>
        <v>28747.647919715662</v>
      </c>
      <c r="K16" s="146">
        <f t="shared" si="4"/>
        <v>15.400985663082437</v>
      </c>
      <c r="L16" t="s">
        <v>505</v>
      </c>
    </row>
    <row r="17" spans="1:12" ht="14.25" customHeight="1">
      <c r="A17" s="143" t="s">
        <v>153</v>
      </c>
      <c r="B17" s="143" t="str">
        <f t="shared" si="0"/>
        <v>Information Architect 2 | 10-15 Years</v>
      </c>
      <c r="C17" s="143" t="s">
        <v>512</v>
      </c>
      <c r="D17" s="144" t="s">
        <v>498</v>
      </c>
      <c r="E17" s="145" t="s">
        <v>495</v>
      </c>
      <c r="F17" s="146">
        <v>190000</v>
      </c>
      <c r="G17" s="146">
        <f t="shared" si="1"/>
        <v>98.958333333333329</v>
      </c>
      <c r="H17" s="147">
        <v>4000000</v>
      </c>
      <c r="I17" s="147">
        <f t="shared" si="3"/>
        <v>2083.3333333333335</v>
      </c>
      <c r="J17" s="146">
        <f ca="1">H17/B1</f>
        <v>41814.760610495505</v>
      </c>
      <c r="K17" s="146">
        <f t="shared" si="4"/>
        <v>22.401433691756274</v>
      </c>
      <c r="L17" t="s">
        <v>505</v>
      </c>
    </row>
    <row r="18" spans="1:12" ht="14.25" customHeight="1">
      <c r="A18" s="143" t="s">
        <v>153</v>
      </c>
      <c r="B18" s="143" t="str">
        <f t="shared" si="0"/>
        <v>Information Architect 3 | 15+ Years</v>
      </c>
      <c r="C18" s="143" t="s">
        <v>513</v>
      </c>
      <c r="D18" s="148" t="s">
        <v>500</v>
      </c>
      <c r="E18" s="145" t="s">
        <v>495</v>
      </c>
      <c r="F18" s="146">
        <v>241920</v>
      </c>
      <c r="G18" s="146">
        <f t="shared" si="1"/>
        <v>126</v>
      </c>
      <c r="H18" s="147">
        <v>5250000</v>
      </c>
      <c r="I18" s="147">
        <f t="shared" si="3"/>
        <v>2734.375</v>
      </c>
      <c r="J18" s="146">
        <f ca="1">H18/B1</f>
        <v>54881.873301275351</v>
      </c>
      <c r="K18" s="146">
        <f t="shared" si="4"/>
        <v>29.401881720430108</v>
      </c>
      <c r="L18" t="s">
        <v>505</v>
      </c>
    </row>
    <row r="19" spans="1:12" ht="14.25" customHeight="1">
      <c r="A19" s="143" t="s">
        <v>153</v>
      </c>
      <c r="B19" s="143" t="str">
        <f t="shared" si="0"/>
        <v>Solution Architect 1 | 5-10 Years</v>
      </c>
      <c r="C19" s="143" t="s">
        <v>514</v>
      </c>
      <c r="D19" s="144" t="s">
        <v>494</v>
      </c>
      <c r="E19" s="145" t="s">
        <v>495</v>
      </c>
      <c r="F19" s="146">
        <v>160000</v>
      </c>
      <c r="G19" s="146">
        <f t="shared" si="1"/>
        <v>83.333333333333329</v>
      </c>
      <c r="H19" s="147">
        <v>5250000</v>
      </c>
      <c r="I19" s="147">
        <f t="shared" si="3"/>
        <v>2734.375</v>
      </c>
      <c r="J19" s="146">
        <f ca="1">H19/B1</f>
        <v>54881.873301275351</v>
      </c>
      <c r="K19" s="146">
        <f t="shared" si="4"/>
        <v>29.401881720430108</v>
      </c>
      <c r="L19" t="s">
        <v>505</v>
      </c>
    </row>
    <row r="20" spans="1:12" ht="14.25" customHeight="1">
      <c r="A20" s="143" t="s">
        <v>153</v>
      </c>
      <c r="B20" s="143" t="str">
        <f t="shared" si="0"/>
        <v>Solution Architect 2 | 10-15 Years</v>
      </c>
      <c r="C20" s="143" t="s">
        <v>515</v>
      </c>
      <c r="D20" s="144" t="s">
        <v>498</v>
      </c>
      <c r="E20" s="145" t="s">
        <v>495</v>
      </c>
      <c r="F20" s="146">
        <v>190000</v>
      </c>
      <c r="G20" s="146">
        <f t="shared" si="1"/>
        <v>98.958333333333329</v>
      </c>
      <c r="H20" s="147">
        <v>7250000</v>
      </c>
      <c r="I20" s="147">
        <f t="shared" si="3"/>
        <v>3776.0416666666665</v>
      </c>
      <c r="J20" s="146">
        <f ca="1">H20/B1</f>
        <v>75789.253606523111</v>
      </c>
      <c r="K20" s="146">
        <f t="shared" si="4"/>
        <v>40.602598566308245</v>
      </c>
      <c r="L20" t="s">
        <v>505</v>
      </c>
    </row>
    <row r="21" spans="1:12" ht="14.25" customHeight="1">
      <c r="A21" s="143" t="s">
        <v>153</v>
      </c>
      <c r="B21" s="143" t="str">
        <f t="shared" si="0"/>
        <v>Solution Architect 3 | 15+ Years</v>
      </c>
      <c r="C21" s="143" t="s">
        <v>516</v>
      </c>
      <c r="D21" s="148" t="s">
        <v>500</v>
      </c>
      <c r="E21" s="145" t="s">
        <v>495</v>
      </c>
      <c r="F21" s="146">
        <v>241920</v>
      </c>
      <c r="G21" s="146">
        <f t="shared" si="1"/>
        <v>126</v>
      </c>
      <c r="H21" s="147">
        <v>9750000</v>
      </c>
      <c r="I21" s="147">
        <f t="shared" si="3"/>
        <v>5078.125</v>
      </c>
      <c r="J21" s="146">
        <f ca="1">H21/B1</f>
        <v>101923.4789880828</v>
      </c>
      <c r="K21" s="146">
        <f t="shared" si="4"/>
        <v>54.603494623655912</v>
      </c>
      <c r="L21" t="s">
        <v>505</v>
      </c>
    </row>
    <row r="22" spans="1:12" ht="14.25" customHeight="1">
      <c r="A22" s="143" t="s">
        <v>101</v>
      </c>
      <c r="B22" s="143" t="str">
        <f t="shared" si="0"/>
        <v>Cloud Data Engineer 1 | 2-3 Years</v>
      </c>
      <c r="C22" s="143" t="s">
        <v>517</v>
      </c>
      <c r="D22" s="144" t="s">
        <v>518</v>
      </c>
      <c r="E22" s="145" t="s">
        <v>495</v>
      </c>
      <c r="F22" s="146">
        <v>81285</v>
      </c>
      <c r="G22" s="146">
        <f t="shared" si="1"/>
        <v>42.3359375</v>
      </c>
      <c r="H22" s="147">
        <v>1100000</v>
      </c>
      <c r="I22" s="147">
        <f t="shared" si="3"/>
        <v>572.91666666666663</v>
      </c>
      <c r="J22" s="146">
        <f ca="1">H22/B1</f>
        <v>11499.059167886264</v>
      </c>
      <c r="K22" s="146">
        <f t="shared" si="4"/>
        <v>6.1603942652329744</v>
      </c>
      <c r="L22" t="s">
        <v>505</v>
      </c>
    </row>
    <row r="23" spans="1:12" ht="14.25" customHeight="1">
      <c r="A23" s="143" t="s">
        <v>101</v>
      </c>
      <c r="B23" s="143" t="str">
        <f t="shared" si="0"/>
        <v>Cloud Data Engineer 2 | 3-5 Years</v>
      </c>
      <c r="C23" s="143" t="s">
        <v>519</v>
      </c>
      <c r="D23" s="144" t="s">
        <v>520</v>
      </c>
      <c r="E23" s="145" t="s">
        <v>495</v>
      </c>
      <c r="F23" s="146">
        <v>101606</v>
      </c>
      <c r="G23" s="146">
        <f t="shared" si="1"/>
        <v>52.919791666666669</v>
      </c>
      <c r="H23" s="147">
        <v>1700000</v>
      </c>
      <c r="I23" s="147">
        <f t="shared" si="3"/>
        <v>885.41666666666663</v>
      </c>
      <c r="J23" s="146">
        <f ca="1">H23/B1</f>
        <v>17771.273259460591</v>
      </c>
      <c r="K23" s="146">
        <f t="shared" si="4"/>
        <v>9.5206093189964154</v>
      </c>
      <c r="L23" t="s">
        <v>505</v>
      </c>
    </row>
    <row r="24" spans="1:12" ht="14.25" customHeight="1">
      <c r="A24" s="143" t="s">
        <v>101</v>
      </c>
      <c r="B24" s="143" t="str">
        <f t="shared" si="0"/>
        <v>Cloud Data Engineer 3 | 5-10 Years</v>
      </c>
      <c r="C24" s="143" t="s">
        <v>521</v>
      </c>
      <c r="D24" s="144" t="s">
        <v>494</v>
      </c>
      <c r="E24" s="145" t="s">
        <v>495</v>
      </c>
      <c r="F24" s="146">
        <v>119040</v>
      </c>
      <c r="G24" s="146">
        <f t="shared" si="1"/>
        <v>62</v>
      </c>
      <c r="H24" s="147">
        <v>2500000</v>
      </c>
      <c r="I24" s="147">
        <f t="shared" si="3"/>
        <v>1302.0833333333333</v>
      </c>
      <c r="J24" s="146">
        <f ca="1">H24/B1</f>
        <v>26134.225381559692</v>
      </c>
      <c r="K24" s="146">
        <f t="shared" si="4"/>
        <v>14.000896057347669</v>
      </c>
      <c r="L24" t="s">
        <v>505</v>
      </c>
    </row>
    <row r="25" spans="1:12" ht="14.25" customHeight="1">
      <c r="A25" s="143" t="s">
        <v>101</v>
      </c>
      <c r="B25" s="143" t="str">
        <f t="shared" si="0"/>
        <v>Cloud Data Engineer 4 | 10-15 Years</v>
      </c>
      <c r="C25" s="143" t="s">
        <v>522</v>
      </c>
      <c r="D25" s="144" t="s">
        <v>498</v>
      </c>
      <c r="E25" s="145" t="s">
        <v>495</v>
      </c>
      <c r="F25" s="146">
        <v>170880</v>
      </c>
      <c r="G25" s="146">
        <f t="shared" si="1"/>
        <v>89</v>
      </c>
      <c r="H25" s="147">
        <v>3900000</v>
      </c>
      <c r="I25" s="147">
        <f t="shared" si="3"/>
        <v>2031.25</v>
      </c>
      <c r="J25" s="146">
        <f ca="1">H25/B1</f>
        <v>40769.391595233115</v>
      </c>
      <c r="K25" s="146">
        <f t="shared" si="4"/>
        <v>21.841397849462364</v>
      </c>
      <c r="L25" t="s">
        <v>505</v>
      </c>
    </row>
    <row r="26" spans="1:12" ht="14.25" customHeight="1">
      <c r="A26" s="143" t="s">
        <v>101</v>
      </c>
      <c r="B26" s="143" t="str">
        <f t="shared" si="0"/>
        <v>Cloud Data Engineer 5 | 15+ Years</v>
      </c>
      <c r="C26" s="143" t="s">
        <v>523</v>
      </c>
      <c r="D26" s="148" t="s">
        <v>500</v>
      </c>
      <c r="E26" s="145" t="s">
        <v>495</v>
      </c>
      <c r="F26" s="146">
        <v>224640</v>
      </c>
      <c r="G26" s="146">
        <f t="shared" si="1"/>
        <v>117</v>
      </c>
      <c r="H26" s="147">
        <v>5250000</v>
      </c>
      <c r="I26" s="147">
        <f t="shared" si="3"/>
        <v>2734.375</v>
      </c>
      <c r="J26" s="146">
        <f ca="1">H26/B1</f>
        <v>54881.873301275351</v>
      </c>
      <c r="K26" s="146">
        <f t="shared" si="4"/>
        <v>29.401881720430108</v>
      </c>
      <c r="L26" t="s">
        <v>505</v>
      </c>
    </row>
    <row r="27" spans="1:12" ht="14.25" customHeight="1">
      <c r="A27" s="143" t="s">
        <v>101</v>
      </c>
      <c r="B27" s="143" t="str">
        <f t="shared" si="0"/>
        <v>Data Engineer / Data Modeler 1 | 2-3 Years</v>
      </c>
      <c r="C27" s="143" t="s">
        <v>524</v>
      </c>
      <c r="D27" s="144" t="s">
        <v>518</v>
      </c>
      <c r="E27" s="145" t="s">
        <v>495</v>
      </c>
      <c r="F27" s="146">
        <v>81285</v>
      </c>
      <c r="G27" s="146">
        <f t="shared" si="1"/>
        <v>42.3359375</v>
      </c>
      <c r="H27" s="147">
        <v>1300000</v>
      </c>
      <c r="I27" s="147">
        <f t="shared" si="3"/>
        <v>677.08333333333337</v>
      </c>
      <c r="J27" s="146">
        <f ca="1">H27/B1</f>
        <v>13589.797198411039</v>
      </c>
      <c r="K27" s="146">
        <f t="shared" si="4"/>
        <v>7.2804659498207887</v>
      </c>
      <c r="L27" t="s">
        <v>505</v>
      </c>
    </row>
    <row r="28" spans="1:12" ht="14.25" customHeight="1">
      <c r="A28" s="143" t="s">
        <v>101</v>
      </c>
      <c r="B28" s="143" t="str">
        <f t="shared" si="0"/>
        <v>Data Engineer / Data Modeler 2 | 3-5 Years</v>
      </c>
      <c r="C28" s="143" t="s">
        <v>525</v>
      </c>
      <c r="D28" s="144" t="s">
        <v>520</v>
      </c>
      <c r="E28" s="145" t="s">
        <v>495</v>
      </c>
      <c r="F28" s="146">
        <v>104509</v>
      </c>
      <c r="G28" s="146">
        <f t="shared" si="1"/>
        <v>54.431770833333331</v>
      </c>
      <c r="H28" s="147">
        <v>1700000</v>
      </c>
      <c r="I28" s="147">
        <f t="shared" si="3"/>
        <v>885.41666666666663</v>
      </c>
      <c r="J28" s="146">
        <f ca="1">H28/B1</f>
        <v>17771.273259460591</v>
      </c>
      <c r="K28" s="146">
        <f t="shared" si="4"/>
        <v>9.5206093189964154</v>
      </c>
      <c r="L28" t="s">
        <v>505</v>
      </c>
    </row>
    <row r="29" spans="1:12" ht="14.25" customHeight="1">
      <c r="A29" s="143" t="s">
        <v>101</v>
      </c>
      <c r="B29" s="143" t="str">
        <f t="shared" si="0"/>
        <v>Data Engineer / Data Modeler 3 | 5-10 Years</v>
      </c>
      <c r="C29" s="143" t="s">
        <v>526</v>
      </c>
      <c r="D29" s="144" t="s">
        <v>494</v>
      </c>
      <c r="E29" s="145" t="s">
        <v>495</v>
      </c>
      <c r="F29" s="146">
        <v>144000</v>
      </c>
      <c r="G29" s="146">
        <f t="shared" si="1"/>
        <v>75</v>
      </c>
      <c r="H29" s="147">
        <v>2600000</v>
      </c>
      <c r="I29" s="147">
        <f t="shared" si="3"/>
        <v>1354.1666666666667</v>
      </c>
      <c r="J29" s="146">
        <f ca="1">H29/B1</f>
        <v>27179.594396822078</v>
      </c>
      <c r="K29" s="146">
        <f t="shared" si="4"/>
        <v>14.560931899641577</v>
      </c>
      <c r="L29" t="s">
        <v>505</v>
      </c>
    </row>
    <row r="30" spans="1:12" ht="14.25" customHeight="1">
      <c r="A30" s="143" t="s">
        <v>101</v>
      </c>
      <c r="B30" s="143" t="str">
        <f t="shared" si="0"/>
        <v>Data Engineer / Data Modeler 4 | 10-15 Years</v>
      </c>
      <c r="C30" s="143" t="s">
        <v>527</v>
      </c>
      <c r="D30" s="144" t="s">
        <v>498</v>
      </c>
      <c r="E30" s="145" t="s">
        <v>495</v>
      </c>
      <c r="F30" s="146">
        <v>197760</v>
      </c>
      <c r="G30" s="146">
        <f t="shared" si="1"/>
        <v>103</v>
      </c>
      <c r="H30" s="147">
        <v>4100000</v>
      </c>
      <c r="I30" s="147">
        <f t="shared" si="3"/>
        <v>2135.4166666666665</v>
      </c>
      <c r="J30" s="146">
        <f ca="1">H30/B1</f>
        <v>42860.129625757894</v>
      </c>
      <c r="K30" s="146">
        <f t="shared" si="4"/>
        <v>22.961469534050178</v>
      </c>
      <c r="L30" t="s">
        <v>505</v>
      </c>
    </row>
    <row r="31" spans="1:12" ht="14.25" customHeight="1">
      <c r="A31" s="143" t="s">
        <v>101</v>
      </c>
      <c r="B31" s="143" t="str">
        <f t="shared" si="0"/>
        <v>Data Engineer / Data Modeler 5 | 15+ Years</v>
      </c>
      <c r="C31" s="143" t="s">
        <v>528</v>
      </c>
      <c r="D31" s="148" t="s">
        <v>500</v>
      </c>
      <c r="E31" s="145" t="s">
        <v>495</v>
      </c>
      <c r="F31" s="146">
        <v>251520</v>
      </c>
      <c r="G31" s="146">
        <f t="shared" si="1"/>
        <v>131</v>
      </c>
      <c r="H31" s="147">
        <v>5600000</v>
      </c>
      <c r="I31" s="147">
        <f t="shared" si="3"/>
        <v>2916.6666666666665</v>
      </c>
      <c r="J31" s="146">
        <f ca="1">H31/B1</f>
        <v>58540.664854693707</v>
      </c>
      <c r="K31" s="146">
        <f t="shared" si="4"/>
        <v>31.362007168458781</v>
      </c>
      <c r="L31" t="s">
        <v>505</v>
      </c>
    </row>
    <row r="32" spans="1:12" ht="14.25" customHeight="1">
      <c r="A32" s="143" t="s">
        <v>101</v>
      </c>
      <c r="B32" s="143" t="str">
        <f t="shared" si="0"/>
        <v>Database Administrator 1 | 2-3 Years</v>
      </c>
      <c r="C32" s="143" t="s">
        <v>529</v>
      </c>
      <c r="D32" s="144" t="s">
        <v>518</v>
      </c>
      <c r="E32" s="145" t="s">
        <v>495</v>
      </c>
      <c r="F32" s="146">
        <v>81285.119999999995</v>
      </c>
      <c r="G32" s="146">
        <f t="shared" si="1"/>
        <v>42.335999999999999</v>
      </c>
      <c r="H32" s="147">
        <v>1100000</v>
      </c>
      <c r="I32" s="147">
        <f t="shared" si="3"/>
        <v>572.91666666666663</v>
      </c>
      <c r="J32" s="146">
        <f ca="1">H32/B1</f>
        <v>11499.059167886264</v>
      </c>
      <c r="K32" s="146">
        <f t="shared" si="4"/>
        <v>6.1603942652329744</v>
      </c>
      <c r="L32" t="s">
        <v>505</v>
      </c>
    </row>
    <row r="33" spans="1:12" ht="14.25" customHeight="1">
      <c r="A33" s="143" t="s">
        <v>101</v>
      </c>
      <c r="B33" s="143" t="str">
        <f t="shared" si="0"/>
        <v>Database Administrator 2 | 3-5 Years</v>
      </c>
      <c r="C33" s="143" t="s">
        <v>530</v>
      </c>
      <c r="D33" s="144" t="s">
        <v>520</v>
      </c>
      <c r="E33" s="145" t="s">
        <v>495</v>
      </c>
      <c r="F33" s="146">
        <v>95800.320000000007</v>
      </c>
      <c r="G33" s="146">
        <f t="shared" si="1"/>
        <v>49.896000000000001</v>
      </c>
      <c r="H33" s="147">
        <v>1750000</v>
      </c>
      <c r="I33" s="147">
        <f t="shared" si="3"/>
        <v>911.45833333333337</v>
      </c>
      <c r="J33" s="146">
        <f ca="1">H33/B1</f>
        <v>18293.957767091782</v>
      </c>
      <c r="K33" s="146">
        <f t="shared" si="4"/>
        <v>9.8006272401433687</v>
      </c>
      <c r="L33" t="s">
        <v>505</v>
      </c>
    </row>
    <row r="34" spans="1:12" ht="14.25" customHeight="1">
      <c r="A34" s="143" t="s">
        <v>101</v>
      </c>
      <c r="B34" s="143" t="str">
        <f t="shared" si="0"/>
        <v>Database Administrator 3 | 5-10 Years</v>
      </c>
      <c r="C34" s="143" t="s">
        <v>531</v>
      </c>
      <c r="D34" s="144" t="s">
        <v>494</v>
      </c>
      <c r="E34" s="145" t="s">
        <v>495</v>
      </c>
      <c r="F34" s="146">
        <v>144000</v>
      </c>
      <c r="G34" s="146">
        <f t="shared" si="1"/>
        <v>75</v>
      </c>
      <c r="H34" s="147">
        <v>2250000</v>
      </c>
      <c r="I34" s="147">
        <f t="shared" si="3"/>
        <v>1171.875</v>
      </c>
      <c r="J34" s="146">
        <f ca="1">H34/B1</f>
        <v>23520.802843403722</v>
      </c>
      <c r="K34" s="146">
        <f t="shared" si="4"/>
        <v>12.600806451612904</v>
      </c>
      <c r="L34" t="s">
        <v>505</v>
      </c>
    </row>
    <row r="35" spans="1:12" ht="14.25" customHeight="1">
      <c r="A35" s="143" t="s">
        <v>101</v>
      </c>
      <c r="B35" s="143" t="str">
        <f t="shared" si="0"/>
        <v>Database Administrator 4 | 10-15 Years</v>
      </c>
      <c r="C35" s="143" t="s">
        <v>532</v>
      </c>
      <c r="D35" s="144" t="s">
        <v>498</v>
      </c>
      <c r="E35" s="145" t="s">
        <v>495</v>
      </c>
      <c r="F35" s="146">
        <v>197760</v>
      </c>
      <c r="G35" s="146">
        <f t="shared" si="1"/>
        <v>103</v>
      </c>
      <c r="H35" s="147">
        <v>3100000</v>
      </c>
      <c r="I35" s="147">
        <f t="shared" si="3"/>
        <v>1614.5833333333333</v>
      </c>
      <c r="J35" s="146">
        <f ca="1">H35/B1</f>
        <v>32406.439473134018</v>
      </c>
      <c r="K35" s="146">
        <f t="shared" si="4"/>
        <v>17.361111111111111</v>
      </c>
      <c r="L35" t="s">
        <v>505</v>
      </c>
    </row>
    <row r="36" spans="1:12" ht="14.25" customHeight="1">
      <c r="A36" s="143" t="s">
        <v>101</v>
      </c>
      <c r="B36" s="143" t="str">
        <f t="shared" ref="B36:B67" si="5">CONCATENATE(C36, " | ",D36)</f>
        <v>Database Administrator 5 | 15+ Years</v>
      </c>
      <c r="C36" s="143" t="s">
        <v>533</v>
      </c>
      <c r="D36" s="148" t="s">
        <v>500</v>
      </c>
      <c r="E36" s="145" t="s">
        <v>495</v>
      </c>
      <c r="F36" s="146">
        <v>251520</v>
      </c>
      <c r="G36" s="146">
        <f t="shared" ref="G36:G67" si="6">F36/1920</f>
        <v>131</v>
      </c>
      <c r="H36" s="147">
        <v>4600000</v>
      </c>
      <c r="I36" s="147">
        <f t="shared" ref="I36:I67" si="7">H36/1920</f>
        <v>2395.8333333333335</v>
      </c>
      <c r="J36" s="146">
        <f ca="1">H36/B1</f>
        <v>48086.974702069834</v>
      </c>
      <c r="K36" s="146">
        <f t="shared" ref="K36:K67" si="8">I36/93</f>
        <v>25.761648745519715</v>
      </c>
      <c r="L36" t="s">
        <v>505</v>
      </c>
    </row>
    <row r="37" spans="1:12" ht="14.25" customHeight="1">
      <c r="A37" s="143" t="s">
        <v>101</v>
      </c>
      <c r="B37" s="143" t="str">
        <f t="shared" si="5"/>
        <v>ETL Developer 1 | 2-3 Years</v>
      </c>
      <c r="C37" s="143" t="s">
        <v>534</v>
      </c>
      <c r="D37" s="144" t="s">
        <v>518</v>
      </c>
      <c r="E37" s="145" t="s">
        <v>495</v>
      </c>
      <c r="F37" s="146">
        <v>66770</v>
      </c>
      <c r="G37" s="146">
        <f t="shared" si="6"/>
        <v>34.776041666666664</v>
      </c>
      <c r="H37" s="147">
        <v>900000</v>
      </c>
      <c r="I37" s="147">
        <f t="shared" si="7"/>
        <v>468.75</v>
      </c>
      <c r="J37" s="146">
        <f ca="1">H37/B1</f>
        <v>9408.3211373614886</v>
      </c>
      <c r="K37" s="146">
        <f t="shared" si="8"/>
        <v>5.040322580645161</v>
      </c>
      <c r="L37" t="s">
        <v>505</v>
      </c>
    </row>
    <row r="38" spans="1:12" ht="14.25" customHeight="1">
      <c r="A38" s="143" t="s">
        <v>101</v>
      </c>
      <c r="B38" s="143" t="str">
        <f t="shared" si="5"/>
        <v>ETL Developer 2 | 3-5 Years</v>
      </c>
      <c r="C38" s="143" t="s">
        <v>535</v>
      </c>
      <c r="D38" s="144" t="s">
        <v>520</v>
      </c>
      <c r="E38" s="145" t="s">
        <v>495</v>
      </c>
      <c r="F38" s="146">
        <v>92188</v>
      </c>
      <c r="G38" s="146">
        <f t="shared" si="6"/>
        <v>48.014583333333334</v>
      </c>
      <c r="H38" s="147">
        <v>1550000</v>
      </c>
      <c r="I38" s="147">
        <f t="shared" si="7"/>
        <v>807.29166666666663</v>
      </c>
      <c r="J38" s="146">
        <f ca="1">H38/B1</f>
        <v>16203.219736567009</v>
      </c>
      <c r="K38" s="146">
        <f t="shared" si="8"/>
        <v>8.6805555555555554</v>
      </c>
      <c r="L38" t="s">
        <v>505</v>
      </c>
    </row>
    <row r="39" spans="1:12" ht="14.25" customHeight="1">
      <c r="A39" s="143" t="s">
        <v>101</v>
      </c>
      <c r="B39" s="143" t="str">
        <f t="shared" si="5"/>
        <v>ETL Developer 3 | 5-10 Years</v>
      </c>
      <c r="C39" s="143" t="s">
        <v>536</v>
      </c>
      <c r="D39" s="144" t="s">
        <v>494</v>
      </c>
      <c r="E39" s="145" t="s">
        <v>495</v>
      </c>
      <c r="F39" s="146">
        <v>120360</v>
      </c>
      <c r="G39" s="146">
        <f t="shared" si="6"/>
        <v>62.6875</v>
      </c>
      <c r="H39" s="147">
        <v>2250000</v>
      </c>
      <c r="I39" s="147">
        <f t="shared" si="7"/>
        <v>1171.875</v>
      </c>
      <c r="J39" s="146">
        <f ca="1">H39/B1</f>
        <v>23520.802843403722</v>
      </c>
      <c r="K39" s="146">
        <f t="shared" si="8"/>
        <v>12.600806451612904</v>
      </c>
      <c r="L39" t="s">
        <v>505</v>
      </c>
    </row>
    <row r="40" spans="1:12" ht="14.25" customHeight="1">
      <c r="A40" s="143" t="s">
        <v>101</v>
      </c>
      <c r="B40" s="143" t="str">
        <f t="shared" si="5"/>
        <v>ETL Developer 4 | 10-15 Years</v>
      </c>
      <c r="C40" s="143" t="s">
        <v>537</v>
      </c>
      <c r="D40" s="144" t="s">
        <v>498</v>
      </c>
      <c r="E40" s="145" t="s">
        <v>495</v>
      </c>
      <c r="F40" s="146">
        <v>145640</v>
      </c>
      <c r="G40" s="146">
        <f t="shared" si="6"/>
        <v>75.854166666666671</v>
      </c>
      <c r="H40" s="147">
        <v>3600000</v>
      </c>
      <c r="I40" s="147">
        <f t="shared" si="7"/>
        <v>1875</v>
      </c>
      <c r="J40" s="146">
        <f ca="1">H40/B1</f>
        <v>37633.284549445954</v>
      </c>
      <c r="K40" s="146">
        <f t="shared" si="8"/>
        <v>20.161290322580644</v>
      </c>
      <c r="L40" t="s">
        <v>505</v>
      </c>
    </row>
    <row r="41" spans="1:12" ht="14.25" customHeight="1">
      <c r="A41" s="143" t="s">
        <v>101</v>
      </c>
      <c r="B41" s="143" t="str">
        <f t="shared" si="5"/>
        <v>ETL Developer 5 | 15+ Years</v>
      </c>
      <c r="C41" s="143" t="s">
        <v>538</v>
      </c>
      <c r="D41" s="148" t="s">
        <v>500</v>
      </c>
      <c r="E41" s="145" t="s">
        <v>495</v>
      </c>
      <c r="F41" s="146">
        <v>170920</v>
      </c>
      <c r="G41" s="146">
        <f t="shared" si="6"/>
        <v>89.020833333333329</v>
      </c>
      <c r="H41" s="147">
        <v>4400000</v>
      </c>
      <c r="I41" s="147">
        <f t="shared" si="7"/>
        <v>2291.6666666666665</v>
      </c>
      <c r="J41" s="146">
        <f ca="1">H41/B1</f>
        <v>45996.236671545055</v>
      </c>
      <c r="K41" s="146">
        <f t="shared" si="8"/>
        <v>24.641577060931898</v>
      </c>
      <c r="L41" t="s">
        <v>505</v>
      </c>
    </row>
    <row r="42" spans="1:12" ht="14.25" customHeight="1">
      <c r="A42" s="143" t="s">
        <v>101</v>
      </c>
      <c r="B42" s="149" t="str">
        <f t="shared" si="5"/>
        <v>Graph Engineer 1 | 2-3 Years</v>
      </c>
      <c r="C42" s="143" t="s">
        <v>539</v>
      </c>
      <c r="D42" s="144" t="s">
        <v>518</v>
      </c>
      <c r="E42" s="145" t="s">
        <v>495</v>
      </c>
      <c r="F42" s="146">
        <v>87091</v>
      </c>
      <c r="G42" s="146">
        <f t="shared" si="6"/>
        <v>45.359895833333333</v>
      </c>
      <c r="H42" s="147">
        <v>1000000</v>
      </c>
      <c r="I42" s="147">
        <f t="shared" si="7"/>
        <v>520.83333333333337</v>
      </c>
      <c r="J42" s="146">
        <f ca="1">H42/B1</f>
        <v>10453.690152623876</v>
      </c>
      <c r="K42" s="146">
        <f t="shared" si="8"/>
        <v>5.6003584229390686</v>
      </c>
      <c r="L42" t="s">
        <v>505</v>
      </c>
    </row>
    <row r="43" spans="1:12" ht="14.25" customHeight="1">
      <c r="A43" s="143" t="s">
        <v>101</v>
      </c>
      <c r="B43" s="149" t="str">
        <f t="shared" si="5"/>
        <v>Graph Engineer 2 | 3-5 Years</v>
      </c>
      <c r="C43" s="143" t="s">
        <v>540</v>
      </c>
      <c r="D43" s="144" t="s">
        <v>520</v>
      </c>
      <c r="E43" s="145" t="s">
        <v>495</v>
      </c>
      <c r="F43" s="146">
        <v>110316</v>
      </c>
      <c r="G43" s="146">
        <f t="shared" si="6"/>
        <v>57.456249999999997</v>
      </c>
      <c r="H43" s="147">
        <v>1600000</v>
      </c>
      <c r="I43" s="147">
        <f t="shared" si="7"/>
        <v>833.33333333333337</v>
      </c>
      <c r="J43" s="146">
        <f ca="1">H43/B1</f>
        <v>16725.904244198202</v>
      </c>
      <c r="K43" s="146">
        <f t="shared" si="8"/>
        <v>8.9605734767025087</v>
      </c>
      <c r="L43" t="s">
        <v>505</v>
      </c>
    </row>
    <row r="44" spans="1:12" ht="14.25" customHeight="1">
      <c r="A44" s="143" t="s">
        <v>101</v>
      </c>
      <c r="B44" s="149" t="str">
        <f t="shared" si="5"/>
        <v>Graph Engineer 3 | 5-10 Years</v>
      </c>
      <c r="C44" s="143" t="s">
        <v>541</v>
      </c>
      <c r="D44" s="144" t="s">
        <v>494</v>
      </c>
      <c r="E44" s="145" t="s">
        <v>495</v>
      </c>
      <c r="F44" s="146">
        <v>157440</v>
      </c>
      <c r="G44" s="146">
        <f t="shared" si="6"/>
        <v>82</v>
      </c>
      <c r="H44" s="147">
        <v>2400000</v>
      </c>
      <c r="I44" s="147">
        <f t="shared" si="7"/>
        <v>1250</v>
      </c>
      <c r="J44" s="146">
        <f ca="1">H44/B1</f>
        <v>25088.856366297303</v>
      </c>
      <c r="K44" s="146">
        <f t="shared" si="8"/>
        <v>13.440860215053764</v>
      </c>
      <c r="L44" t="s">
        <v>505</v>
      </c>
    </row>
    <row r="45" spans="1:12" ht="14.25" customHeight="1">
      <c r="A45" s="143" t="s">
        <v>101</v>
      </c>
      <c r="B45" s="149" t="str">
        <f t="shared" si="5"/>
        <v>Graph Engineer 4 | 10-15 Years</v>
      </c>
      <c r="C45" s="143" t="s">
        <v>542</v>
      </c>
      <c r="D45" s="144" t="s">
        <v>498</v>
      </c>
      <c r="E45" s="145" t="s">
        <v>495</v>
      </c>
      <c r="F45" s="146">
        <v>216960</v>
      </c>
      <c r="G45" s="146">
        <f t="shared" si="6"/>
        <v>113</v>
      </c>
      <c r="H45" s="147">
        <v>2850000</v>
      </c>
      <c r="I45" s="147">
        <f t="shared" si="7"/>
        <v>1484.375</v>
      </c>
      <c r="J45" s="146">
        <f ca="1">H45/B1</f>
        <v>29793.016934978048</v>
      </c>
      <c r="K45" s="146">
        <f t="shared" si="8"/>
        <v>15.961021505376344</v>
      </c>
      <c r="L45" t="s">
        <v>505</v>
      </c>
    </row>
    <row r="46" spans="1:12" ht="14.25" customHeight="1">
      <c r="A46" s="143" t="s">
        <v>101</v>
      </c>
      <c r="B46" s="149" t="str">
        <f t="shared" si="5"/>
        <v>Graph Engineer 5 | 15+ Years</v>
      </c>
      <c r="C46" s="143" t="s">
        <v>543</v>
      </c>
      <c r="D46" s="148" t="s">
        <v>500</v>
      </c>
      <c r="E46" s="145" t="s">
        <v>495</v>
      </c>
      <c r="F46" s="146">
        <v>276480</v>
      </c>
      <c r="G46" s="146">
        <f t="shared" si="6"/>
        <v>144</v>
      </c>
      <c r="H46" s="147">
        <v>3350000</v>
      </c>
      <c r="I46" s="147">
        <f t="shared" si="7"/>
        <v>1744.7916666666667</v>
      </c>
      <c r="J46" s="146">
        <f ca="1">H46/B1</f>
        <v>35019.862011289988</v>
      </c>
      <c r="K46" s="146">
        <f t="shared" si="8"/>
        <v>18.761200716845877</v>
      </c>
      <c r="L46" t="s">
        <v>505</v>
      </c>
    </row>
    <row r="47" spans="1:12" ht="14.25" customHeight="1">
      <c r="A47" s="143" t="s">
        <v>101</v>
      </c>
      <c r="B47" s="143" t="str">
        <f t="shared" si="5"/>
        <v>Backend End Developers 1 | 2-3 Years</v>
      </c>
      <c r="C47" s="143" t="s">
        <v>544</v>
      </c>
      <c r="D47" s="144" t="s">
        <v>518</v>
      </c>
      <c r="E47" s="145" t="s">
        <v>495</v>
      </c>
      <c r="F47" s="146">
        <v>66769.919999999998</v>
      </c>
      <c r="G47" s="146">
        <f t="shared" si="6"/>
        <v>34.775999999999996</v>
      </c>
      <c r="H47" s="147">
        <v>850000</v>
      </c>
      <c r="I47" s="147">
        <f t="shared" si="7"/>
        <v>442.70833333333331</v>
      </c>
      <c r="J47" s="146">
        <f ca="1">H47/B1</f>
        <v>8885.6366297302957</v>
      </c>
      <c r="K47" s="146">
        <f t="shared" si="8"/>
        <v>4.7603046594982077</v>
      </c>
      <c r="L47" t="s">
        <v>496</v>
      </c>
    </row>
    <row r="48" spans="1:12" ht="14.25" customHeight="1">
      <c r="A48" s="143" t="s">
        <v>101</v>
      </c>
      <c r="B48" s="143" t="str">
        <f t="shared" si="5"/>
        <v>Backend End Developers 2 | 3-5 Years</v>
      </c>
      <c r="C48" s="143" t="s">
        <v>545</v>
      </c>
      <c r="D48" s="144" t="s">
        <v>520</v>
      </c>
      <c r="E48" s="145" t="s">
        <v>495</v>
      </c>
      <c r="F48" s="146">
        <v>92897.279999999999</v>
      </c>
      <c r="G48" s="146">
        <f t="shared" si="6"/>
        <v>48.384</v>
      </c>
      <c r="H48" s="147">
        <v>1500000</v>
      </c>
      <c r="I48" s="147">
        <f t="shared" si="7"/>
        <v>781.25</v>
      </c>
      <c r="J48" s="146">
        <f ca="1">H48/B1</f>
        <v>15680.535228935814</v>
      </c>
      <c r="K48" s="146">
        <f t="shared" si="8"/>
        <v>8.400537634408602</v>
      </c>
      <c r="L48" t="s">
        <v>496</v>
      </c>
    </row>
    <row r="49" spans="1:12" ht="14.25" customHeight="1">
      <c r="A49" s="143" t="s">
        <v>101</v>
      </c>
      <c r="B49" s="143" t="str">
        <f t="shared" si="5"/>
        <v>Backend End Developers 3 | 5-10 Years</v>
      </c>
      <c r="C49" s="143" t="s">
        <v>546</v>
      </c>
      <c r="D49" s="144" t="s">
        <v>494</v>
      </c>
      <c r="E49" s="145" t="s">
        <v>495</v>
      </c>
      <c r="F49" s="146">
        <v>116121.60000000001</v>
      </c>
      <c r="G49" s="146">
        <f t="shared" si="6"/>
        <v>60.480000000000004</v>
      </c>
      <c r="H49" s="147">
        <v>2400000</v>
      </c>
      <c r="I49" s="147">
        <f t="shared" si="7"/>
        <v>1250</v>
      </c>
      <c r="J49" s="146">
        <f ca="1">H49/B1</f>
        <v>25088.856366297303</v>
      </c>
      <c r="K49" s="146">
        <f t="shared" si="8"/>
        <v>13.440860215053764</v>
      </c>
      <c r="L49" t="s">
        <v>496</v>
      </c>
    </row>
    <row r="50" spans="1:12" ht="14.25" customHeight="1">
      <c r="A50" s="143" t="s">
        <v>101</v>
      </c>
      <c r="B50" s="143" t="str">
        <f t="shared" si="5"/>
        <v>Backend End Developers 4 | 10-15 Years</v>
      </c>
      <c r="C50" s="143" t="s">
        <v>547</v>
      </c>
      <c r="D50" s="144" t="s">
        <v>498</v>
      </c>
      <c r="E50" s="145" t="s">
        <v>495</v>
      </c>
      <c r="F50" s="146">
        <v>211200</v>
      </c>
      <c r="G50" s="146">
        <f t="shared" si="6"/>
        <v>110</v>
      </c>
      <c r="H50" s="147">
        <v>3800000</v>
      </c>
      <c r="I50" s="147">
        <f t="shared" si="7"/>
        <v>1979.1666666666667</v>
      </c>
      <c r="J50" s="146">
        <f ca="1">H50/B1</f>
        <v>39724.022579970733</v>
      </c>
      <c r="K50" s="146">
        <f t="shared" si="8"/>
        <v>21.281362007168461</v>
      </c>
      <c r="L50" t="s">
        <v>496</v>
      </c>
    </row>
    <row r="51" spans="1:12" ht="14.25" customHeight="1">
      <c r="A51" s="143" t="s">
        <v>101</v>
      </c>
      <c r="B51" s="143" t="str">
        <f t="shared" si="5"/>
        <v>BI Developer 1 | 2-3 Years</v>
      </c>
      <c r="C51" s="143" t="s">
        <v>548</v>
      </c>
      <c r="D51" s="144" t="s">
        <v>518</v>
      </c>
      <c r="E51" s="145" t="s">
        <v>495</v>
      </c>
      <c r="F51" s="146">
        <v>66769.919999999998</v>
      </c>
      <c r="G51" s="146">
        <f t="shared" si="6"/>
        <v>34.775999999999996</v>
      </c>
      <c r="H51" s="147">
        <v>4400000</v>
      </c>
      <c r="I51" s="147">
        <f t="shared" si="7"/>
        <v>2291.6666666666665</v>
      </c>
      <c r="J51" s="146">
        <f ca="1">H51/$B$1</f>
        <v>45996.236671545055</v>
      </c>
      <c r="K51" s="146">
        <f t="shared" si="8"/>
        <v>24.641577060931898</v>
      </c>
      <c r="L51" t="s">
        <v>496</v>
      </c>
    </row>
    <row r="52" spans="1:12" ht="14.25" customHeight="1">
      <c r="A52" s="143" t="s">
        <v>101</v>
      </c>
      <c r="B52" s="143" t="str">
        <f t="shared" si="5"/>
        <v>BI Developer 2 | 3-5 Years</v>
      </c>
      <c r="C52" s="143" t="s">
        <v>549</v>
      </c>
      <c r="D52" s="144" t="s">
        <v>520</v>
      </c>
      <c r="E52" s="145" t="s">
        <v>495</v>
      </c>
      <c r="F52" s="146">
        <v>92897.279999999999</v>
      </c>
      <c r="G52" s="146">
        <f t="shared" si="6"/>
        <v>48.384</v>
      </c>
      <c r="H52" s="147">
        <v>1500000</v>
      </c>
      <c r="I52" s="147">
        <f t="shared" si="7"/>
        <v>781.25</v>
      </c>
      <c r="J52" s="146">
        <f ca="1">H52/$B$1</f>
        <v>15680.535228935814</v>
      </c>
      <c r="K52" s="146">
        <f t="shared" si="8"/>
        <v>8.400537634408602</v>
      </c>
      <c r="L52" t="s">
        <v>496</v>
      </c>
    </row>
    <row r="53" spans="1:12" ht="14.25" customHeight="1">
      <c r="A53" s="143" t="s">
        <v>101</v>
      </c>
      <c r="B53" s="143" t="str">
        <f t="shared" si="5"/>
        <v>BI Developer 3 | 5-10 Years</v>
      </c>
      <c r="C53" s="143" t="s">
        <v>550</v>
      </c>
      <c r="D53" s="144" t="s">
        <v>494</v>
      </c>
      <c r="E53" s="145" t="s">
        <v>495</v>
      </c>
      <c r="F53" s="146">
        <v>111360</v>
      </c>
      <c r="G53" s="146">
        <f t="shared" si="6"/>
        <v>58</v>
      </c>
      <c r="H53" s="147">
        <v>2400000</v>
      </c>
      <c r="I53" s="147">
        <f t="shared" si="7"/>
        <v>1250</v>
      </c>
      <c r="J53" s="146">
        <f ca="1">H53/$B$1</f>
        <v>25088.856366297303</v>
      </c>
      <c r="K53" s="146">
        <f t="shared" si="8"/>
        <v>13.440860215053764</v>
      </c>
      <c r="L53" t="s">
        <v>496</v>
      </c>
    </row>
    <row r="54" spans="1:12" ht="14.25" customHeight="1">
      <c r="A54" s="143" t="s">
        <v>101</v>
      </c>
      <c r="B54" s="143" t="str">
        <f t="shared" si="5"/>
        <v>BI Developer 4 | 10-15 Years</v>
      </c>
      <c r="C54" s="143" t="s">
        <v>551</v>
      </c>
      <c r="D54" s="144" t="s">
        <v>498</v>
      </c>
      <c r="E54" s="145" t="s">
        <v>495</v>
      </c>
      <c r="F54" s="146">
        <v>147840</v>
      </c>
      <c r="G54" s="146">
        <f t="shared" si="6"/>
        <v>77</v>
      </c>
      <c r="H54" s="147">
        <v>3800000</v>
      </c>
      <c r="I54" s="147">
        <f t="shared" si="7"/>
        <v>1979.1666666666667</v>
      </c>
      <c r="J54" s="146">
        <f ca="1">H54/$B$1</f>
        <v>39724.022579970733</v>
      </c>
      <c r="K54" s="146">
        <f t="shared" si="8"/>
        <v>21.281362007168461</v>
      </c>
      <c r="L54" t="s">
        <v>496</v>
      </c>
    </row>
    <row r="55" spans="1:12" ht="14.25" customHeight="1">
      <c r="A55" s="143" t="s">
        <v>101</v>
      </c>
      <c r="B55" s="143" t="str">
        <f t="shared" si="5"/>
        <v>BI Developer 5 | 15+ Years</v>
      </c>
      <c r="C55" s="143" t="s">
        <v>552</v>
      </c>
      <c r="D55" s="148" t="s">
        <v>500</v>
      </c>
      <c r="E55" s="145" t="s">
        <v>495</v>
      </c>
      <c r="F55" s="146">
        <v>182400</v>
      </c>
      <c r="G55" s="146">
        <f t="shared" si="6"/>
        <v>95</v>
      </c>
      <c r="H55" s="147">
        <v>4400000</v>
      </c>
      <c r="I55" s="147">
        <f t="shared" si="7"/>
        <v>2291.6666666666665</v>
      </c>
      <c r="J55" s="146">
        <f ca="1">H55/$B$1</f>
        <v>45996.236671545055</v>
      </c>
      <c r="K55" s="146">
        <f t="shared" si="8"/>
        <v>24.641577060931898</v>
      </c>
      <c r="L55" t="s">
        <v>496</v>
      </c>
    </row>
    <row r="56" spans="1:12" ht="14.25" customHeight="1">
      <c r="A56" s="143" t="s">
        <v>101</v>
      </c>
      <c r="B56" s="143" t="str">
        <f t="shared" si="5"/>
        <v>Data Analyst 1 | 2-3 Years</v>
      </c>
      <c r="C56" s="143" t="s">
        <v>553</v>
      </c>
      <c r="D56" s="144" t="s">
        <v>518</v>
      </c>
      <c r="E56" s="145" t="s">
        <v>495</v>
      </c>
      <c r="F56" s="146">
        <v>66770</v>
      </c>
      <c r="G56" s="146">
        <f t="shared" si="6"/>
        <v>34.776041666666664</v>
      </c>
      <c r="H56" s="147">
        <v>750000</v>
      </c>
      <c r="I56" s="147">
        <f t="shared" si="7"/>
        <v>390.625</v>
      </c>
      <c r="J56" s="146">
        <f ca="1">H56/B1</f>
        <v>7840.2676144679072</v>
      </c>
      <c r="K56" s="146">
        <f t="shared" si="8"/>
        <v>4.200268817204301</v>
      </c>
      <c r="L56" t="s">
        <v>505</v>
      </c>
    </row>
    <row r="57" spans="1:12" ht="14.25" customHeight="1">
      <c r="A57" s="143" t="s">
        <v>101</v>
      </c>
      <c r="B57" s="143" t="str">
        <f t="shared" si="5"/>
        <v>Data Analyst 2 | 3-5 Years</v>
      </c>
      <c r="C57" s="143" t="s">
        <v>554</v>
      </c>
      <c r="D57" s="144" t="s">
        <v>520</v>
      </c>
      <c r="E57" s="145" t="s">
        <v>495</v>
      </c>
      <c r="F57" s="146">
        <v>92897</v>
      </c>
      <c r="G57" s="146">
        <f t="shared" si="6"/>
        <v>48.383854166666666</v>
      </c>
      <c r="H57" s="147">
        <v>950000</v>
      </c>
      <c r="I57" s="147">
        <f t="shared" si="7"/>
        <v>494.79166666666669</v>
      </c>
      <c r="J57" s="146">
        <f ca="1">H57/B1</f>
        <v>9931.0056449926833</v>
      </c>
      <c r="K57" s="146">
        <f t="shared" si="8"/>
        <v>5.3203405017921153</v>
      </c>
      <c r="L57" t="s">
        <v>505</v>
      </c>
    </row>
    <row r="58" spans="1:12" ht="14.25" customHeight="1">
      <c r="A58" s="143" t="s">
        <v>101</v>
      </c>
      <c r="B58" s="143" t="str">
        <f t="shared" si="5"/>
        <v>Data Analyst 3 | 5-10 Years</v>
      </c>
      <c r="C58" s="143" t="s">
        <v>555</v>
      </c>
      <c r="D58" s="144" t="s">
        <v>494</v>
      </c>
      <c r="E58" s="145" t="s">
        <v>495</v>
      </c>
      <c r="F58" s="146">
        <v>126720</v>
      </c>
      <c r="G58" s="146">
        <f t="shared" si="6"/>
        <v>66</v>
      </c>
      <c r="H58" s="147">
        <v>1500000</v>
      </c>
      <c r="I58" s="147">
        <f t="shared" si="7"/>
        <v>781.25</v>
      </c>
      <c r="J58" s="146">
        <f ca="1">H58/B1</f>
        <v>15680.535228935814</v>
      </c>
      <c r="K58" s="146">
        <f t="shared" si="8"/>
        <v>8.400537634408602</v>
      </c>
      <c r="L58" t="s">
        <v>505</v>
      </c>
    </row>
    <row r="59" spans="1:12" ht="14.25" customHeight="1">
      <c r="A59" s="143" t="s">
        <v>101</v>
      </c>
      <c r="B59" s="143" t="str">
        <f t="shared" si="5"/>
        <v>Data Analyst 4 | 10-15 Years</v>
      </c>
      <c r="C59" s="143" t="s">
        <v>556</v>
      </c>
      <c r="D59" s="144" t="s">
        <v>498</v>
      </c>
      <c r="E59" s="145" t="s">
        <v>495</v>
      </c>
      <c r="F59" s="146">
        <v>147840</v>
      </c>
      <c r="G59" s="146">
        <f t="shared" si="6"/>
        <v>77</v>
      </c>
      <c r="H59" s="147">
        <v>2250000</v>
      </c>
      <c r="I59" s="147">
        <f t="shared" si="7"/>
        <v>1171.875</v>
      </c>
      <c r="J59" s="146">
        <f ca="1">H59/B1</f>
        <v>23520.802843403722</v>
      </c>
      <c r="K59" s="146">
        <f t="shared" si="8"/>
        <v>12.600806451612904</v>
      </c>
      <c r="L59" t="s">
        <v>505</v>
      </c>
    </row>
    <row r="60" spans="1:12" ht="14.25" customHeight="1">
      <c r="A60" s="143" t="s">
        <v>101</v>
      </c>
      <c r="B60" s="143" t="str">
        <f t="shared" si="5"/>
        <v>Data Analyst 5 | 15+ Years</v>
      </c>
      <c r="C60" s="143" t="s">
        <v>557</v>
      </c>
      <c r="D60" s="148" t="s">
        <v>500</v>
      </c>
      <c r="E60" s="145" t="s">
        <v>495</v>
      </c>
      <c r="F60" s="146">
        <v>167040</v>
      </c>
      <c r="G60" s="146">
        <f t="shared" si="6"/>
        <v>87</v>
      </c>
      <c r="H60" s="147">
        <v>4000000</v>
      </c>
      <c r="I60" s="147">
        <f t="shared" si="7"/>
        <v>2083.3333333333335</v>
      </c>
      <c r="J60" s="146">
        <f ca="1">H60/B1</f>
        <v>41814.760610495505</v>
      </c>
      <c r="K60" s="146">
        <f t="shared" si="8"/>
        <v>22.401433691756274</v>
      </c>
      <c r="L60" t="s">
        <v>505</v>
      </c>
    </row>
    <row r="61" spans="1:12" ht="14.25" customHeight="1">
      <c r="A61" s="143" t="s">
        <v>101</v>
      </c>
      <c r="B61" s="143" t="str">
        <f t="shared" si="5"/>
        <v>DevOps/DataOps/DevSecOps Engineer 1 | 2-3 Years</v>
      </c>
      <c r="C61" s="143" t="s">
        <v>558</v>
      </c>
      <c r="D61" s="144" t="s">
        <v>518</v>
      </c>
      <c r="E61" s="145" t="s">
        <v>495</v>
      </c>
      <c r="F61" s="146">
        <v>81285</v>
      </c>
      <c r="G61" s="146">
        <f t="shared" si="6"/>
        <v>42.3359375</v>
      </c>
      <c r="H61" s="147">
        <v>1100000</v>
      </c>
      <c r="I61" s="147">
        <f t="shared" si="7"/>
        <v>572.91666666666663</v>
      </c>
      <c r="J61" s="146">
        <f ca="1">H61/B1</f>
        <v>11499.059167886264</v>
      </c>
      <c r="K61" s="146">
        <f t="shared" si="8"/>
        <v>6.1603942652329744</v>
      </c>
      <c r="L61" t="s">
        <v>505</v>
      </c>
    </row>
    <row r="62" spans="1:12" ht="14.25" customHeight="1">
      <c r="A62" s="143" t="s">
        <v>101</v>
      </c>
      <c r="B62" s="143" t="str">
        <f t="shared" si="5"/>
        <v>DevOps/DataOps/DevSecOps Engineer 2 | 3-5 Years</v>
      </c>
      <c r="C62" s="143" t="s">
        <v>559</v>
      </c>
      <c r="D62" s="144" t="s">
        <v>520</v>
      </c>
      <c r="E62" s="145" t="s">
        <v>495</v>
      </c>
      <c r="F62" s="146">
        <v>101606</v>
      </c>
      <c r="G62" s="146">
        <f t="shared" si="6"/>
        <v>52.919791666666669</v>
      </c>
      <c r="H62" s="147">
        <v>1700000</v>
      </c>
      <c r="I62" s="147">
        <f t="shared" si="7"/>
        <v>885.41666666666663</v>
      </c>
      <c r="J62" s="146">
        <f ca="1">H62/B1</f>
        <v>17771.273259460591</v>
      </c>
      <c r="K62" s="146">
        <f t="shared" si="8"/>
        <v>9.5206093189964154</v>
      </c>
      <c r="L62" t="s">
        <v>505</v>
      </c>
    </row>
    <row r="63" spans="1:12" ht="14.25" customHeight="1">
      <c r="A63" s="143" t="s">
        <v>101</v>
      </c>
      <c r="B63" s="143" t="str">
        <f t="shared" si="5"/>
        <v>DevOps/DataOps/DevSecOps Engineer 3 | 5-10 Years</v>
      </c>
      <c r="C63" s="143" t="s">
        <v>560</v>
      </c>
      <c r="D63" s="144" t="s">
        <v>494</v>
      </c>
      <c r="E63" s="145" t="s">
        <v>495</v>
      </c>
      <c r="F63" s="146">
        <v>144000</v>
      </c>
      <c r="G63" s="146">
        <f t="shared" si="6"/>
        <v>75</v>
      </c>
      <c r="H63" s="147">
        <v>2500000</v>
      </c>
      <c r="I63" s="147">
        <f t="shared" si="7"/>
        <v>1302.0833333333333</v>
      </c>
      <c r="J63" s="146">
        <f ca="1">H63/B1</f>
        <v>26134.225381559692</v>
      </c>
      <c r="K63" s="146">
        <f t="shared" si="8"/>
        <v>14.000896057347669</v>
      </c>
      <c r="L63" t="s">
        <v>505</v>
      </c>
    </row>
    <row r="64" spans="1:12" ht="14.25" customHeight="1">
      <c r="A64" s="143" t="s">
        <v>101</v>
      </c>
      <c r="B64" s="143" t="str">
        <f t="shared" si="5"/>
        <v>DevOps/DataOps/DevSecOps Engineer 4 | 10-15 Years</v>
      </c>
      <c r="C64" s="143" t="s">
        <v>561</v>
      </c>
      <c r="D64" s="144" t="s">
        <v>498</v>
      </c>
      <c r="E64" s="145" t="s">
        <v>495</v>
      </c>
      <c r="F64" s="146">
        <v>197760</v>
      </c>
      <c r="G64" s="146">
        <f t="shared" si="6"/>
        <v>103</v>
      </c>
      <c r="H64" s="147">
        <v>3900000</v>
      </c>
      <c r="I64" s="147">
        <f t="shared" si="7"/>
        <v>2031.25</v>
      </c>
      <c r="J64" s="146">
        <f ca="1">H64/B1</f>
        <v>40769.391595233115</v>
      </c>
      <c r="K64" s="146">
        <f t="shared" si="8"/>
        <v>21.841397849462364</v>
      </c>
      <c r="L64" t="s">
        <v>505</v>
      </c>
    </row>
    <row r="65" spans="1:12" ht="14.25" customHeight="1">
      <c r="A65" s="143" t="s">
        <v>101</v>
      </c>
      <c r="B65" s="143" t="str">
        <f t="shared" si="5"/>
        <v>DevOps/DataOps/DevSecOps Engineer 5 | 15+ Years</v>
      </c>
      <c r="C65" s="143" t="s">
        <v>562</v>
      </c>
      <c r="D65" s="148" t="s">
        <v>500</v>
      </c>
      <c r="E65" s="145" t="s">
        <v>495</v>
      </c>
      <c r="F65" s="146">
        <v>251520</v>
      </c>
      <c r="G65" s="146">
        <f t="shared" si="6"/>
        <v>131</v>
      </c>
      <c r="H65" s="147">
        <v>5250000</v>
      </c>
      <c r="I65" s="147">
        <f t="shared" si="7"/>
        <v>2734.375</v>
      </c>
      <c r="J65" s="146">
        <f ca="1">H65/B1</f>
        <v>54881.873301275351</v>
      </c>
      <c r="K65" s="146">
        <f t="shared" si="8"/>
        <v>29.401881720430108</v>
      </c>
      <c r="L65" t="s">
        <v>505</v>
      </c>
    </row>
    <row r="66" spans="1:12" ht="14.25" customHeight="1">
      <c r="A66" s="143" t="s">
        <v>101</v>
      </c>
      <c r="B66" s="143" t="str">
        <f t="shared" si="5"/>
        <v>Digital Engineering / BPM / RPA / Process Engineering 1 | 2-3 Years</v>
      </c>
      <c r="C66" s="143" t="s">
        <v>563</v>
      </c>
      <c r="D66" s="144" t="s">
        <v>518</v>
      </c>
      <c r="E66" s="145" t="s">
        <v>495</v>
      </c>
      <c r="F66" s="146">
        <v>81285.119999999995</v>
      </c>
      <c r="G66" s="146">
        <f t="shared" si="6"/>
        <v>42.335999999999999</v>
      </c>
      <c r="H66" s="147">
        <v>1300000</v>
      </c>
      <c r="I66" s="147">
        <f t="shared" si="7"/>
        <v>677.08333333333337</v>
      </c>
      <c r="J66" s="146">
        <f ca="1">H66/B1</f>
        <v>13589.797198411039</v>
      </c>
      <c r="K66" s="146">
        <f t="shared" si="8"/>
        <v>7.2804659498207887</v>
      </c>
      <c r="L66" t="s">
        <v>496</v>
      </c>
    </row>
    <row r="67" spans="1:12" ht="14.25" customHeight="1">
      <c r="A67" s="143" t="s">
        <v>101</v>
      </c>
      <c r="B67" s="143" t="str">
        <f t="shared" si="5"/>
        <v>Digital Engineering / BPM / RPA / Process Engineering 2 | 3-5 Years</v>
      </c>
      <c r="C67" s="143" t="s">
        <v>564</v>
      </c>
      <c r="D67" s="144" t="s">
        <v>520</v>
      </c>
      <c r="E67" s="145" t="s">
        <v>495</v>
      </c>
      <c r="F67" s="146">
        <v>101606.39999999999</v>
      </c>
      <c r="G67" s="146">
        <f t="shared" si="6"/>
        <v>52.919999999999995</v>
      </c>
      <c r="H67" s="147">
        <v>1700000</v>
      </c>
      <c r="I67" s="147">
        <f t="shared" si="7"/>
        <v>885.41666666666663</v>
      </c>
      <c r="J67" s="146">
        <f ca="1">H67/B1</f>
        <v>17771.273259460591</v>
      </c>
      <c r="K67" s="146">
        <f t="shared" si="8"/>
        <v>9.5206093189964154</v>
      </c>
      <c r="L67" t="s">
        <v>496</v>
      </c>
    </row>
    <row r="68" spans="1:12" ht="14.25" customHeight="1">
      <c r="A68" s="143" t="s">
        <v>101</v>
      </c>
      <c r="B68" s="143" t="str">
        <f t="shared" ref="B68:B99" si="9">CONCATENATE(C68, " | ",D68)</f>
        <v>Digital Engineering / BPM / RPA / Process Engineering 3 | 5-10 Years</v>
      </c>
      <c r="C68" s="143" t="s">
        <v>565</v>
      </c>
      <c r="D68" s="144" t="s">
        <v>494</v>
      </c>
      <c r="E68" s="145" t="s">
        <v>495</v>
      </c>
      <c r="F68" s="146">
        <v>113218.56</v>
      </c>
      <c r="G68" s="146">
        <f t="shared" ref="G68:G99" si="10">F68/1920</f>
        <v>58.967999999999996</v>
      </c>
      <c r="H68" s="147">
        <v>2600000</v>
      </c>
      <c r="I68" s="147">
        <f t="shared" ref="I68:I99" si="11">H68/1920</f>
        <v>1354.1666666666667</v>
      </c>
      <c r="J68" s="146">
        <f ca="1">H68/B1</f>
        <v>27179.594396822078</v>
      </c>
      <c r="K68" s="146">
        <f t="shared" ref="K68:K99" si="12">I68/93</f>
        <v>14.560931899641577</v>
      </c>
      <c r="L68" t="s">
        <v>496</v>
      </c>
    </row>
    <row r="69" spans="1:12" ht="14.25" customHeight="1">
      <c r="A69" s="143" t="s">
        <v>101</v>
      </c>
      <c r="B69" s="143" t="str">
        <f t="shared" si="9"/>
        <v>Digital Engineering / BPM / RPA / Process Engineering 4 | 10-15 Years</v>
      </c>
      <c r="C69" s="143" t="s">
        <v>566</v>
      </c>
      <c r="D69" s="144" t="s">
        <v>498</v>
      </c>
      <c r="E69" s="145" t="s">
        <v>495</v>
      </c>
      <c r="F69" s="146">
        <v>124830.72</v>
      </c>
      <c r="G69" s="146">
        <f t="shared" si="10"/>
        <v>65.016000000000005</v>
      </c>
      <c r="H69" s="147">
        <v>4100000</v>
      </c>
      <c r="I69" s="147">
        <f t="shared" si="11"/>
        <v>2135.4166666666665</v>
      </c>
      <c r="J69" s="146">
        <f ca="1">H69/B1</f>
        <v>42860.129625757894</v>
      </c>
      <c r="K69" s="146">
        <f t="shared" si="12"/>
        <v>22.961469534050178</v>
      </c>
      <c r="L69" t="s">
        <v>496</v>
      </c>
    </row>
    <row r="70" spans="1:12" ht="14.25" customHeight="1">
      <c r="A70" s="143" t="s">
        <v>101</v>
      </c>
      <c r="B70" s="143" t="str">
        <f t="shared" si="9"/>
        <v>Digital Engineering / BPM / RPA / Process Engineering 5 | 15+ Years</v>
      </c>
      <c r="C70" s="143" t="s">
        <v>567</v>
      </c>
      <c r="D70" s="148" t="s">
        <v>500</v>
      </c>
      <c r="E70" s="145" t="s">
        <v>495</v>
      </c>
      <c r="F70" s="146">
        <v>136442.88</v>
      </c>
      <c r="G70" s="146">
        <f t="shared" si="10"/>
        <v>71.064000000000007</v>
      </c>
      <c r="H70" s="147">
        <v>5600000</v>
      </c>
      <c r="I70" s="147">
        <f t="shared" si="11"/>
        <v>2916.6666666666665</v>
      </c>
      <c r="J70" s="146">
        <f ca="1">H70/B1</f>
        <v>58540.664854693707</v>
      </c>
      <c r="K70" s="146">
        <f t="shared" si="12"/>
        <v>31.362007168458781</v>
      </c>
      <c r="L70" t="s">
        <v>496</v>
      </c>
    </row>
    <row r="71" spans="1:12" ht="14.25" customHeight="1">
      <c r="A71" s="143" t="s">
        <v>101</v>
      </c>
      <c r="B71" s="143" t="str">
        <f t="shared" si="9"/>
        <v>Front End Developers 1 | 2-3 Years</v>
      </c>
      <c r="C71" s="143" t="s">
        <v>568</v>
      </c>
      <c r="D71" s="144" t="s">
        <v>518</v>
      </c>
      <c r="E71" s="145" t="s">
        <v>495</v>
      </c>
      <c r="F71" s="146">
        <v>81285.119999999995</v>
      </c>
      <c r="G71" s="146">
        <f t="shared" si="10"/>
        <v>42.335999999999999</v>
      </c>
      <c r="H71" s="147">
        <v>1100000</v>
      </c>
      <c r="I71" s="147">
        <f t="shared" si="11"/>
        <v>572.91666666666663</v>
      </c>
      <c r="J71" s="146">
        <f ca="1">H71/B1</f>
        <v>11499.059167886264</v>
      </c>
      <c r="K71" s="146">
        <f t="shared" si="12"/>
        <v>6.1603942652329744</v>
      </c>
      <c r="L71" t="s">
        <v>496</v>
      </c>
    </row>
    <row r="72" spans="1:12" ht="14.25" customHeight="1">
      <c r="A72" s="143" t="s">
        <v>101</v>
      </c>
      <c r="B72" s="143" t="str">
        <f t="shared" si="9"/>
        <v>Front End Developers 2 | 3-5 Years</v>
      </c>
      <c r="C72" s="143" t="s">
        <v>569</v>
      </c>
      <c r="D72" s="144" t="s">
        <v>520</v>
      </c>
      <c r="E72" s="145" t="s">
        <v>495</v>
      </c>
      <c r="F72" s="146">
        <v>101606.39999999999</v>
      </c>
      <c r="G72" s="146">
        <f t="shared" si="10"/>
        <v>52.919999999999995</v>
      </c>
      <c r="H72" s="147">
        <v>1700000</v>
      </c>
      <c r="I72" s="147">
        <f t="shared" si="11"/>
        <v>885.41666666666663</v>
      </c>
      <c r="J72" s="146">
        <f ca="1">H72/B1</f>
        <v>17771.273259460591</v>
      </c>
      <c r="K72" s="146">
        <f t="shared" si="12"/>
        <v>9.5206093189964154</v>
      </c>
      <c r="L72" t="s">
        <v>496</v>
      </c>
    </row>
    <row r="73" spans="1:12" ht="14.25" customHeight="1">
      <c r="A73" s="143" t="s">
        <v>101</v>
      </c>
      <c r="B73" s="143" t="str">
        <f t="shared" si="9"/>
        <v>Front End Developers 3 | 5-10 Years</v>
      </c>
      <c r="C73" s="143" t="s">
        <v>570</v>
      </c>
      <c r="D73" s="144" t="s">
        <v>494</v>
      </c>
      <c r="E73" s="145" t="s">
        <v>495</v>
      </c>
      <c r="F73" s="146">
        <v>113218.56</v>
      </c>
      <c r="G73" s="146">
        <f t="shared" si="10"/>
        <v>58.967999999999996</v>
      </c>
      <c r="H73" s="147">
        <v>2500000</v>
      </c>
      <c r="I73" s="147">
        <f t="shared" si="11"/>
        <v>1302.0833333333333</v>
      </c>
      <c r="J73" s="146">
        <f ca="1">H73/B1</f>
        <v>26134.225381559692</v>
      </c>
      <c r="K73" s="146">
        <f t="shared" si="12"/>
        <v>14.000896057347669</v>
      </c>
      <c r="L73" t="s">
        <v>496</v>
      </c>
    </row>
    <row r="74" spans="1:12" ht="14.25" customHeight="1">
      <c r="A74" s="143" t="s">
        <v>101</v>
      </c>
      <c r="B74" s="143" t="str">
        <f t="shared" si="9"/>
        <v>Front End Developers 4 | 10-15 Years</v>
      </c>
      <c r="C74" s="143" t="s">
        <v>571</v>
      </c>
      <c r="D74" s="144" t="s">
        <v>498</v>
      </c>
      <c r="E74" s="145" t="s">
        <v>495</v>
      </c>
      <c r="F74" s="146">
        <v>124830.72</v>
      </c>
      <c r="G74" s="146">
        <f t="shared" si="10"/>
        <v>65.016000000000005</v>
      </c>
      <c r="H74" s="147">
        <v>3900000</v>
      </c>
      <c r="I74" s="147">
        <f t="shared" si="11"/>
        <v>2031.25</v>
      </c>
      <c r="J74" s="146">
        <f ca="1">H74/B1</f>
        <v>40769.391595233115</v>
      </c>
      <c r="K74" s="146">
        <f t="shared" si="12"/>
        <v>21.841397849462364</v>
      </c>
      <c r="L74" t="s">
        <v>496</v>
      </c>
    </row>
    <row r="75" spans="1:12" ht="14.25" customHeight="1">
      <c r="A75" s="143" t="s">
        <v>101</v>
      </c>
      <c r="B75" s="143" t="str">
        <f t="shared" si="9"/>
        <v>Full Stack Developers 1 | 2-3 Years</v>
      </c>
      <c r="C75" s="143" t="s">
        <v>572</v>
      </c>
      <c r="D75" s="144" t="s">
        <v>518</v>
      </c>
      <c r="E75" s="145" t="s">
        <v>495</v>
      </c>
      <c r="F75" s="146">
        <v>66769.919999999998</v>
      </c>
      <c r="G75" s="146">
        <f t="shared" si="10"/>
        <v>34.775999999999996</v>
      </c>
      <c r="H75" s="147">
        <v>1200000</v>
      </c>
      <c r="I75" s="147">
        <f t="shared" si="11"/>
        <v>625</v>
      </c>
      <c r="J75" s="146">
        <f ca="1">H75/B1</f>
        <v>12544.428183148651</v>
      </c>
      <c r="K75" s="146">
        <f t="shared" si="12"/>
        <v>6.720430107526882</v>
      </c>
      <c r="L75" t="s">
        <v>496</v>
      </c>
    </row>
    <row r="76" spans="1:12" ht="14.25" customHeight="1">
      <c r="A76" s="143" t="s">
        <v>101</v>
      </c>
      <c r="B76" s="143" t="str">
        <f t="shared" si="9"/>
        <v>Full Stack Developers 2 | 3-5 Years</v>
      </c>
      <c r="C76" s="143" t="s">
        <v>573</v>
      </c>
      <c r="D76" s="144" t="s">
        <v>520</v>
      </c>
      <c r="E76" s="145" t="s">
        <v>495</v>
      </c>
      <c r="F76" s="146">
        <v>101606.39999999999</v>
      </c>
      <c r="G76" s="146">
        <f t="shared" si="10"/>
        <v>52.919999999999995</v>
      </c>
      <c r="H76" s="147">
        <v>1900000</v>
      </c>
      <c r="I76" s="147">
        <f t="shared" si="11"/>
        <v>989.58333333333337</v>
      </c>
      <c r="J76" s="146">
        <f ca="1">H76/B1</f>
        <v>19862.011289985367</v>
      </c>
      <c r="K76" s="146">
        <f t="shared" si="12"/>
        <v>10.640681003584231</v>
      </c>
      <c r="L76" t="s">
        <v>496</v>
      </c>
    </row>
    <row r="77" spans="1:12" ht="14.25" customHeight="1">
      <c r="A77" s="143" t="s">
        <v>101</v>
      </c>
      <c r="B77" s="143" t="str">
        <f t="shared" si="9"/>
        <v>Full Stack Developers 3 | 5-10 Years</v>
      </c>
      <c r="C77" s="143" t="s">
        <v>574</v>
      </c>
      <c r="D77" s="144" t="s">
        <v>494</v>
      </c>
      <c r="E77" s="145" t="s">
        <v>495</v>
      </c>
      <c r="F77" s="146">
        <v>116121.60000000001</v>
      </c>
      <c r="G77" s="146">
        <f t="shared" si="10"/>
        <v>60.480000000000004</v>
      </c>
      <c r="H77" s="147">
        <v>2600000</v>
      </c>
      <c r="I77" s="147">
        <f t="shared" si="11"/>
        <v>1354.1666666666667</v>
      </c>
      <c r="J77" s="146">
        <f ca="1">H77/B1</f>
        <v>27179.594396822078</v>
      </c>
      <c r="K77" s="146">
        <f t="shared" si="12"/>
        <v>14.560931899641577</v>
      </c>
      <c r="L77" t="s">
        <v>496</v>
      </c>
    </row>
    <row r="78" spans="1:12" ht="14.25" customHeight="1">
      <c r="A78" s="143" t="s">
        <v>101</v>
      </c>
      <c r="B78" s="143" t="str">
        <f t="shared" si="9"/>
        <v>Full Stack Developers 4 | 10-15 Years</v>
      </c>
      <c r="C78" s="143" t="s">
        <v>575</v>
      </c>
      <c r="D78" s="144" t="s">
        <v>498</v>
      </c>
      <c r="E78" s="145" t="s">
        <v>495</v>
      </c>
      <c r="F78" s="146">
        <v>142248.95999999999</v>
      </c>
      <c r="G78" s="146">
        <f t="shared" si="10"/>
        <v>74.087999999999994</v>
      </c>
      <c r="H78" s="147">
        <v>3900000</v>
      </c>
      <c r="I78" s="147">
        <f t="shared" si="11"/>
        <v>2031.25</v>
      </c>
      <c r="J78" s="146">
        <f ca="1">H78/B1</f>
        <v>40769.391595233115</v>
      </c>
      <c r="K78" s="146">
        <f t="shared" si="12"/>
        <v>21.841397849462364</v>
      </c>
      <c r="L78" t="s">
        <v>496</v>
      </c>
    </row>
    <row r="79" spans="1:12" ht="14.25" customHeight="1">
      <c r="A79" s="143" t="s">
        <v>101</v>
      </c>
      <c r="B79" s="143" t="str">
        <f t="shared" si="9"/>
        <v>Microsoft App Development 1 | 5-10 Years</v>
      </c>
      <c r="C79" s="143" t="s">
        <v>576</v>
      </c>
      <c r="D79" s="144" t="s">
        <v>494</v>
      </c>
      <c r="E79" s="145" t="s">
        <v>495</v>
      </c>
      <c r="F79" s="146">
        <v>116121.60000000001</v>
      </c>
      <c r="G79" s="146">
        <f t="shared" si="10"/>
        <v>60.480000000000004</v>
      </c>
      <c r="H79" s="147">
        <v>2600000</v>
      </c>
      <c r="I79" s="147">
        <f t="shared" si="11"/>
        <v>1354.1666666666667</v>
      </c>
      <c r="J79" s="146">
        <f ca="1">H79/B1</f>
        <v>27179.594396822078</v>
      </c>
      <c r="K79" s="146">
        <f t="shared" si="12"/>
        <v>14.560931899641577</v>
      </c>
      <c r="L79" t="s">
        <v>496</v>
      </c>
    </row>
    <row r="80" spans="1:12" ht="14.25" customHeight="1">
      <c r="A80" s="143" t="s">
        <v>101</v>
      </c>
      <c r="B80" s="143" t="str">
        <f t="shared" si="9"/>
        <v>Motion Graphics and Videos 1 | 2-3 Years</v>
      </c>
      <c r="C80" s="143" t="s">
        <v>577</v>
      </c>
      <c r="D80" s="144" t="s">
        <v>518</v>
      </c>
      <c r="E80" s="145" t="s">
        <v>495</v>
      </c>
      <c r="F80" s="146">
        <v>92897.279999999999</v>
      </c>
      <c r="G80" s="146">
        <f t="shared" si="10"/>
        <v>48.384</v>
      </c>
      <c r="H80" s="147">
        <v>650000</v>
      </c>
      <c r="I80" s="147">
        <f t="shared" si="11"/>
        <v>338.54166666666669</v>
      </c>
      <c r="J80" s="146">
        <f t="shared" ref="J80:J85" ca="1" si="13">H80/$B$1</f>
        <v>6794.8985992055195</v>
      </c>
      <c r="K80" s="146">
        <f t="shared" si="12"/>
        <v>3.6402329749103943</v>
      </c>
      <c r="L80" t="s">
        <v>496</v>
      </c>
    </row>
    <row r="81" spans="1:12" ht="14.25" customHeight="1">
      <c r="A81" s="143" t="s">
        <v>101</v>
      </c>
      <c r="B81" s="143" t="str">
        <f t="shared" si="9"/>
        <v>Motion Graphics and Videos 2 | 3-5 Years</v>
      </c>
      <c r="C81" s="143" t="s">
        <v>578</v>
      </c>
      <c r="D81" s="144" t="s">
        <v>520</v>
      </c>
      <c r="E81" s="145" t="s">
        <v>495</v>
      </c>
      <c r="F81" s="146">
        <v>101606.39999999999</v>
      </c>
      <c r="G81" s="146">
        <f t="shared" si="10"/>
        <v>52.919999999999995</v>
      </c>
      <c r="H81" s="147">
        <v>1050000</v>
      </c>
      <c r="I81" s="147">
        <f t="shared" si="11"/>
        <v>546.875</v>
      </c>
      <c r="J81" s="146">
        <f t="shared" ca="1" si="13"/>
        <v>10976.374660255071</v>
      </c>
      <c r="K81" s="146">
        <f t="shared" si="12"/>
        <v>5.8803763440860219</v>
      </c>
      <c r="L81" t="s">
        <v>496</v>
      </c>
    </row>
    <row r="82" spans="1:12" ht="14.25" customHeight="1">
      <c r="A82" s="143" t="s">
        <v>101</v>
      </c>
      <c r="B82" s="143" t="str">
        <f t="shared" si="9"/>
        <v>Motion Graphics and Videos 3 | 5-10 Years</v>
      </c>
      <c r="C82" s="143" t="s">
        <v>579</v>
      </c>
      <c r="D82" s="144" t="s">
        <v>494</v>
      </c>
      <c r="E82" s="145" t="s">
        <v>495</v>
      </c>
      <c r="F82" s="146">
        <v>121927.67999999999</v>
      </c>
      <c r="G82" s="146">
        <f t="shared" si="10"/>
        <v>63.503999999999998</v>
      </c>
      <c r="H82" s="147">
        <v>2150000</v>
      </c>
      <c r="I82" s="147">
        <f t="shared" si="11"/>
        <v>1119.7916666666667</v>
      </c>
      <c r="J82" s="146">
        <f t="shared" ca="1" si="13"/>
        <v>22475.433828141333</v>
      </c>
      <c r="K82" s="146">
        <f t="shared" si="12"/>
        <v>12.040770609318997</v>
      </c>
      <c r="L82" t="s">
        <v>496</v>
      </c>
    </row>
    <row r="83" spans="1:12" ht="14.25" customHeight="1">
      <c r="A83" s="143" t="s">
        <v>101</v>
      </c>
      <c r="B83" s="143" t="str">
        <f t="shared" si="9"/>
        <v>Presentation and Graphic Design 1 | 2-3 Years</v>
      </c>
      <c r="C83" s="143" t="s">
        <v>580</v>
      </c>
      <c r="D83" s="144" t="s">
        <v>518</v>
      </c>
      <c r="E83" s="145" t="s">
        <v>495</v>
      </c>
      <c r="F83" s="146">
        <v>81285.119999999995</v>
      </c>
      <c r="G83" s="146">
        <f t="shared" si="10"/>
        <v>42.335999999999999</v>
      </c>
      <c r="H83" s="147">
        <v>650000</v>
      </c>
      <c r="I83" s="147">
        <f t="shared" si="11"/>
        <v>338.54166666666669</v>
      </c>
      <c r="J83" s="146">
        <f t="shared" ca="1" si="13"/>
        <v>6794.8985992055195</v>
      </c>
      <c r="K83" s="146">
        <f t="shared" si="12"/>
        <v>3.6402329749103943</v>
      </c>
      <c r="L83" t="s">
        <v>496</v>
      </c>
    </row>
    <row r="84" spans="1:12" ht="14.25" customHeight="1">
      <c r="A84" s="143" t="s">
        <v>101</v>
      </c>
      <c r="B84" s="143" t="str">
        <f t="shared" si="9"/>
        <v>Presentation and Graphic Design 2 | 3-5 Years</v>
      </c>
      <c r="C84" s="143" t="s">
        <v>581</v>
      </c>
      <c r="D84" s="144" t="s">
        <v>520</v>
      </c>
      <c r="E84" s="145" t="s">
        <v>495</v>
      </c>
      <c r="F84" s="146">
        <v>101606.39999999999</v>
      </c>
      <c r="G84" s="146">
        <f t="shared" si="10"/>
        <v>52.919999999999995</v>
      </c>
      <c r="H84" s="147">
        <v>1050000</v>
      </c>
      <c r="I84" s="147">
        <f t="shared" si="11"/>
        <v>546.875</v>
      </c>
      <c r="J84" s="146">
        <f t="shared" ca="1" si="13"/>
        <v>10976.374660255071</v>
      </c>
      <c r="K84" s="146">
        <f t="shared" si="12"/>
        <v>5.8803763440860219</v>
      </c>
      <c r="L84" t="s">
        <v>496</v>
      </c>
    </row>
    <row r="85" spans="1:12" ht="14.25" customHeight="1">
      <c r="A85" s="143" t="s">
        <v>101</v>
      </c>
      <c r="B85" s="143" t="str">
        <f t="shared" si="9"/>
        <v>Presentation and Graphic Design 3 | 5-10 Years</v>
      </c>
      <c r="C85" s="143" t="s">
        <v>582</v>
      </c>
      <c r="D85" s="144" t="s">
        <v>494</v>
      </c>
      <c r="E85" s="145" t="s">
        <v>495</v>
      </c>
      <c r="F85" s="146">
        <v>116121.60000000001</v>
      </c>
      <c r="G85" s="146">
        <f t="shared" si="10"/>
        <v>60.480000000000004</v>
      </c>
      <c r="H85" s="147">
        <v>2150000</v>
      </c>
      <c r="I85" s="147">
        <f t="shared" si="11"/>
        <v>1119.7916666666667</v>
      </c>
      <c r="J85" s="146">
        <f t="shared" ca="1" si="13"/>
        <v>22475.433828141333</v>
      </c>
      <c r="K85" s="146">
        <f t="shared" si="12"/>
        <v>12.040770609318997</v>
      </c>
      <c r="L85" t="s">
        <v>496</v>
      </c>
    </row>
    <row r="86" spans="1:12" ht="14.25" customHeight="1">
      <c r="A86" s="143" t="s">
        <v>101</v>
      </c>
      <c r="B86" s="143" t="str">
        <f t="shared" si="9"/>
        <v>Quality Engineer 1 | 2-3 Years</v>
      </c>
      <c r="C86" s="143" t="s">
        <v>583</v>
      </c>
      <c r="D86" s="144" t="s">
        <v>518</v>
      </c>
      <c r="E86" s="145" t="s">
        <v>495</v>
      </c>
      <c r="F86" s="146">
        <v>66769.919999999998</v>
      </c>
      <c r="G86" s="146">
        <f t="shared" si="10"/>
        <v>34.775999999999996</v>
      </c>
      <c r="H86" s="147">
        <v>1150000</v>
      </c>
      <c r="I86" s="147">
        <f t="shared" si="11"/>
        <v>598.95833333333337</v>
      </c>
      <c r="J86" s="146">
        <f ca="1">H86/B1</f>
        <v>12021.743675517459</v>
      </c>
      <c r="K86" s="146">
        <f t="shared" si="12"/>
        <v>6.4404121863799286</v>
      </c>
      <c r="L86" t="s">
        <v>496</v>
      </c>
    </row>
    <row r="87" spans="1:12" ht="14.25" customHeight="1">
      <c r="A87" s="143" t="s">
        <v>101</v>
      </c>
      <c r="B87" s="143" t="str">
        <f t="shared" si="9"/>
        <v>Quality Engineer 2 | 3-5 Years</v>
      </c>
      <c r="C87" s="143" t="s">
        <v>584</v>
      </c>
      <c r="D87" s="144" t="s">
        <v>520</v>
      </c>
      <c r="E87" s="145" t="s">
        <v>495</v>
      </c>
      <c r="F87" s="146">
        <v>84188.160000000003</v>
      </c>
      <c r="G87" s="146">
        <f t="shared" si="10"/>
        <v>43.847999999999999</v>
      </c>
      <c r="H87" s="147">
        <v>1850000</v>
      </c>
      <c r="I87" s="147">
        <f t="shared" si="11"/>
        <v>963.54166666666663</v>
      </c>
      <c r="J87" s="146">
        <f ca="1">H87/B1</f>
        <v>19339.326782354172</v>
      </c>
      <c r="K87" s="146">
        <f t="shared" si="12"/>
        <v>10.360663082437275</v>
      </c>
      <c r="L87" t="s">
        <v>496</v>
      </c>
    </row>
    <row r="88" spans="1:12" ht="14.25" customHeight="1">
      <c r="A88" s="143" t="s">
        <v>101</v>
      </c>
      <c r="B88" s="143" t="str">
        <f t="shared" si="9"/>
        <v>Quality Engineer 3 | 5-10 Years</v>
      </c>
      <c r="C88" s="143" t="s">
        <v>585</v>
      </c>
      <c r="D88" s="144" t="s">
        <v>494</v>
      </c>
      <c r="E88" s="145" t="s">
        <v>495</v>
      </c>
      <c r="F88" s="146">
        <v>111360</v>
      </c>
      <c r="G88" s="146">
        <f t="shared" si="10"/>
        <v>58</v>
      </c>
      <c r="H88" s="147">
        <v>2400000</v>
      </c>
      <c r="I88" s="147">
        <f t="shared" si="11"/>
        <v>1250</v>
      </c>
      <c r="J88" s="146">
        <f ca="1">H88/B1</f>
        <v>25088.856366297303</v>
      </c>
      <c r="K88" s="146">
        <f t="shared" si="12"/>
        <v>13.440860215053764</v>
      </c>
      <c r="L88" t="s">
        <v>496</v>
      </c>
    </row>
    <row r="89" spans="1:12" ht="14.25" customHeight="1">
      <c r="A89" s="143" t="s">
        <v>101</v>
      </c>
      <c r="B89" s="143" t="str">
        <f t="shared" si="9"/>
        <v>Quality Engineer 4 | 10-15 Years</v>
      </c>
      <c r="C89" s="143" t="s">
        <v>586</v>
      </c>
      <c r="D89" s="144" t="s">
        <v>498</v>
      </c>
      <c r="E89" s="145" t="s">
        <v>495</v>
      </c>
      <c r="F89" s="146">
        <v>144000</v>
      </c>
      <c r="G89" s="146">
        <f t="shared" si="10"/>
        <v>75</v>
      </c>
      <c r="H89" s="147">
        <v>3400000</v>
      </c>
      <c r="I89" s="147">
        <f t="shared" si="11"/>
        <v>1770.8333333333333</v>
      </c>
      <c r="J89" s="146">
        <f ca="1">H89/B1</f>
        <v>35542.546518921183</v>
      </c>
      <c r="K89" s="146">
        <f t="shared" si="12"/>
        <v>19.041218637992831</v>
      </c>
      <c r="L89" t="s">
        <v>496</v>
      </c>
    </row>
    <row r="90" spans="1:12" ht="14.25" customHeight="1">
      <c r="A90" s="143" t="s">
        <v>101</v>
      </c>
      <c r="B90" s="143" t="str">
        <f t="shared" si="9"/>
        <v>Quality Engineer 5 | 15+ Years</v>
      </c>
      <c r="C90" s="143" t="s">
        <v>587</v>
      </c>
      <c r="D90" s="148" t="s">
        <v>500</v>
      </c>
      <c r="E90" s="145" t="s">
        <v>495</v>
      </c>
      <c r="F90" s="146">
        <v>174720</v>
      </c>
      <c r="G90" s="146">
        <f t="shared" si="10"/>
        <v>91</v>
      </c>
      <c r="H90" s="147">
        <v>3600000</v>
      </c>
      <c r="I90" s="147">
        <f t="shared" si="11"/>
        <v>1875</v>
      </c>
      <c r="J90" s="146">
        <f ca="1">H90/B1</f>
        <v>37633.284549445954</v>
      </c>
      <c r="K90" s="146">
        <f t="shared" si="12"/>
        <v>20.161290322580644</v>
      </c>
      <c r="L90" t="s">
        <v>496</v>
      </c>
    </row>
    <row r="91" spans="1:12" ht="14.25" customHeight="1">
      <c r="A91" s="143" t="s">
        <v>101</v>
      </c>
      <c r="B91" s="143" t="str">
        <f t="shared" si="9"/>
        <v>Tech Program Managers / Product Manager 1 | 5-10 Years</v>
      </c>
      <c r="C91" s="143" t="s">
        <v>588</v>
      </c>
      <c r="D91" s="144" t="s">
        <v>494</v>
      </c>
      <c r="E91" s="145" t="s">
        <v>495</v>
      </c>
      <c r="F91" s="146">
        <v>145152</v>
      </c>
      <c r="G91" s="146">
        <f t="shared" si="10"/>
        <v>75.599999999999994</v>
      </c>
      <c r="H91" s="147">
        <v>4150000</v>
      </c>
      <c r="I91" s="147">
        <f t="shared" si="11"/>
        <v>2161.4583333333335</v>
      </c>
      <c r="J91" s="146">
        <f ca="1">H91/B1</f>
        <v>43382.814133389089</v>
      </c>
      <c r="K91" s="146">
        <f t="shared" si="12"/>
        <v>23.241487455197134</v>
      </c>
      <c r="L91" t="s">
        <v>496</v>
      </c>
    </row>
    <row r="92" spans="1:12" ht="14.25" customHeight="1">
      <c r="A92" s="143" t="s">
        <v>101</v>
      </c>
      <c r="B92" s="143" t="str">
        <f t="shared" si="9"/>
        <v>Tech Program Managers / Product Manager 2 | 10-15 Years</v>
      </c>
      <c r="C92" s="143" t="s">
        <v>589</v>
      </c>
      <c r="D92" s="144" t="s">
        <v>498</v>
      </c>
      <c r="E92" s="145" t="s">
        <v>495</v>
      </c>
      <c r="F92" s="146">
        <v>159667.20000000001</v>
      </c>
      <c r="G92" s="146">
        <f t="shared" si="10"/>
        <v>83.160000000000011</v>
      </c>
      <c r="H92" s="147">
        <v>5050000</v>
      </c>
      <c r="I92" s="147">
        <f t="shared" si="11"/>
        <v>2630.2083333333335</v>
      </c>
      <c r="J92" s="146">
        <f ca="1">H92/B1</f>
        <v>52791.135270750579</v>
      </c>
      <c r="K92" s="146">
        <f t="shared" si="12"/>
        <v>28.281810035842295</v>
      </c>
      <c r="L92" t="s">
        <v>496</v>
      </c>
    </row>
    <row r="93" spans="1:12" ht="14.25" customHeight="1">
      <c r="A93" s="143" t="s">
        <v>101</v>
      </c>
      <c r="B93" s="143" t="str">
        <f t="shared" si="9"/>
        <v>Testing / QA / UAT 1 | 2-3 Years</v>
      </c>
      <c r="C93" s="143" t="s">
        <v>590</v>
      </c>
      <c r="D93" s="144" t="s">
        <v>518</v>
      </c>
      <c r="E93" s="145" t="s">
        <v>495</v>
      </c>
      <c r="F93" s="146">
        <v>66769.919999999998</v>
      </c>
      <c r="G93" s="146">
        <f t="shared" si="10"/>
        <v>34.775999999999996</v>
      </c>
      <c r="H93" s="147">
        <v>1000000</v>
      </c>
      <c r="I93" s="147">
        <f t="shared" si="11"/>
        <v>520.83333333333337</v>
      </c>
      <c r="J93" s="146">
        <f t="shared" ref="J93:J124" ca="1" si="14">H93/$B$1</f>
        <v>10453.690152623876</v>
      </c>
      <c r="K93" s="146">
        <f t="shared" si="12"/>
        <v>5.6003584229390686</v>
      </c>
      <c r="L93" t="s">
        <v>496</v>
      </c>
    </row>
    <row r="94" spans="1:12" ht="14.25" customHeight="1">
      <c r="A94" s="143" t="s">
        <v>101</v>
      </c>
      <c r="B94" s="143" t="str">
        <f t="shared" si="9"/>
        <v>Testing / QA / UAT 2 | 3-5 Years</v>
      </c>
      <c r="C94" s="143" t="s">
        <v>591</v>
      </c>
      <c r="D94" s="144" t="s">
        <v>520</v>
      </c>
      <c r="E94" s="145" t="s">
        <v>495</v>
      </c>
      <c r="F94" s="146">
        <v>78382.080000000002</v>
      </c>
      <c r="G94" s="146">
        <f t="shared" si="10"/>
        <v>40.823999999999998</v>
      </c>
      <c r="H94" s="147">
        <v>1500000</v>
      </c>
      <c r="I94" s="147">
        <f t="shared" si="11"/>
        <v>781.25</v>
      </c>
      <c r="J94" s="146">
        <f t="shared" ca="1" si="14"/>
        <v>15680.535228935814</v>
      </c>
      <c r="K94" s="146">
        <f t="shared" si="12"/>
        <v>8.400537634408602</v>
      </c>
      <c r="L94" t="s">
        <v>496</v>
      </c>
    </row>
    <row r="95" spans="1:12" ht="14.25" customHeight="1">
      <c r="A95" s="143" t="s">
        <v>101</v>
      </c>
      <c r="B95" s="143" t="str">
        <f t="shared" si="9"/>
        <v>Testing / QA / UAT 3 | 5-10 Years</v>
      </c>
      <c r="C95" s="143" t="s">
        <v>592</v>
      </c>
      <c r="D95" s="144" t="s">
        <v>494</v>
      </c>
      <c r="E95" s="145" t="s">
        <v>495</v>
      </c>
      <c r="F95" s="146">
        <v>89994.240000000005</v>
      </c>
      <c r="G95" s="146">
        <f t="shared" si="10"/>
        <v>46.872</v>
      </c>
      <c r="H95" s="147">
        <v>2200000</v>
      </c>
      <c r="I95" s="147">
        <f t="shared" si="11"/>
        <v>1145.8333333333333</v>
      </c>
      <c r="J95" s="146">
        <f t="shared" ca="1" si="14"/>
        <v>22998.118335772528</v>
      </c>
      <c r="K95" s="146">
        <f t="shared" si="12"/>
        <v>12.320788530465949</v>
      </c>
      <c r="L95" t="s">
        <v>496</v>
      </c>
    </row>
    <row r="96" spans="1:12" ht="14.25" customHeight="1">
      <c r="A96" s="143" t="s">
        <v>101</v>
      </c>
      <c r="B96" s="143" t="str">
        <f t="shared" si="9"/>
        <v>UX Consultants 1 | 3-5 Years</v>
      </c>
      <c r="C96" s="143" t="s">
        <v>593</v>
      </c>
      <c r="D96" s="144" t="s">
        <v>520</v>
      </c>
      <c r="E96" s="145" t="s">
        <v>495</v>
      </c>
      <c r="F96" s="146">
        <v>211200</v>
      </c>
      <c r="G96" s="146">
        <f t="shared" si="10"/>
        <v>110</v>
      </c>
      <c r="H96" s="147">
        <v>1250000</v>
      </c>
      <c r="I96" s="147">
        <f t="shared" si="11"/>
        <v>651.04166666666663</v>
      </c>
      <c r="J96" s="146">
        <f t="shared" ca="1" si="14"/>
        <v>13067.112690779846</v>
      </c>
      <c r="K96" s="146">
        <f t="shared" si="12"/>
        <v>7.0004480286738344</v>
      </c>
      <c r="L96" t="s">
        <v>496</v>
      </c>
    </row>
    <row r="97" spans="1:12" ht="14.25" customHeight="1">
      <c r="A97" s="143" t="s">
        <v>101</v>
      </c>
      <c r="B97" s="143" t="str">
        <f t="shared" si="9"/>
        <v>UX Consultants 2 | 5-10 Years</v>
      </c>
      <c r="C97" s="143" t="s">
        <v>594</v>
      </c>
      <c r="D97" s="144" t="s">
        <v>494</v>
      </c>
      <c r="E97" s="145" t="s">
        <v>495</v>
      </c>
      <c r="F97" s="146">
        <v>268800</v>
      </c>
      <c r="G97" s="146">
        <f t="shared" si="10"/>
        <v>140</v>
      </c>
      <c r="H97" s="147">
        <v>2250000</v>
      </c>
      <c r="I97" s="147">
        <f t="shared" si="11"/>
        <v>1171.875</v>
      </c>
      <c r="J97" s="146">
        <f t="shared" ca="1" si="14"/>
        <v>23520.802843403722</v>
      </c>
      <c r="K97" s="146">
        <f t="shared" si="12"/>
        <v>12.600806451612904</v>
      </c>
      <c r="L97" t="s">
        <v>496</v>
      </c>
    </row>
    <row r="98" spans="1:12" ht="14.25" customHeight="1">
      <c r="A98" s="143" t="s">
        <v>101</v>
      </c>
      <c r="B98" s="143" t="str">
        <f t="shared" si="9"/>
        <v>UX Consultants 3 | 10-15 Years</v>
      </c>
      <c r="C98" s="143" t="s">
        <v>595</v>
      </c>
      <c r="D98" s="144" t="s">
        <v>498</v>
      </c>
      <c r="E98" s="145" t="s">
        <v>495</v>
      </c>
      <c r="F98" s="146">
        <v>145152</v>
      </c>
      <c r="G98" s="146">
        <f t="shared" si="10"/>
        <v>75.599999999999994</v>
      </c>
      <c r="H98" s="147">
        <v>3600000</v>
      </c>
      <c r="I98" s="147">
        <f t="shared" si="11"/>
        <v>1875</v>
      </c>
      <c r="J98" s="146">
        <f t="shared" ca="1" si="14"/>
        <v>37633.284549445954</v>
      </c>
      <c r="K98" s="146">
        <f t="shared" si="12"/>
        <v>20.161290322580644</v>
      </c>
      <c r="L98" t="s">
        <v>496</v>
      </c>
    </row>
    <row r="99" spans="1:12" ht="14.25" customHeight="1">
      <c r="A99" s="143" t="s">
        <v>101</v>
      </c>
      <c r="B99" s="143" t="str">
        <f t="shared" si="9"/>
        <v>UX Consultants 4 | 15+ Years</v>
      </c>
      <c r="C99" s="143" t="s">
        <v>596</v>
      </c>
      <c r="D99" s="148" t="s">
        <v>500</v>
      </c>
      <c r="E99" s="145" t="s">
        <v>495</v>
      </c>
      <c r="F99" s="146">
        <v>174182.39999999999</v>
      </c>
      <c r="G99" s="146">
        <f t="shared" si="10"/>
        <v>90.72</v>
      </c>
      <c r="H99" s="147">
        <v>5250000</v>
      </c>
      <c r="I99" s="147">
        <f t="shared" si="11"/>
        <v>2734.375</v>
      </c>
      <c r="J99" s="146">
        <f t="shared" ca="1" si="14"/>
        <v>54881.873301275351</v>
      </c>
      <c r="K99" s="146">
        <f t="shared" si="12"/>
        <v>29.401881720430108</v>
      </c>
      <c r="L99" t="s">
        <v>496</v>
      </c>
    </row>
    <row r="100" spans="1:12" ht="14.25" customHeight="1">
      <c r="A100" s="143" t="s">
        <v>101</v>
      </c>
      <c r="B100" s="143" t="str">
        <f t="shared" ref="B100:B131" si="15">CONCATENATE(C100, " | ",D100)</f>
        <v>UX Researcher/UI/UX Designer 1 | 2-3 Years</v>
      </c>
      <c r="C100" s="143" t="s">
        <v>597</v>
      </c>
      <c r="D100" s="144" t="s">
        <v>518</v>
      </c>
      <c r="E100" s="145" t="s">
        <v>495</v>
      </c>
      <c r="F100" s="146">
        <v>163200</v>
      </c>
      <c r="G100" s="146">
        <f t="shared" ref="G100:G131" si="16">F100/1920</f>
        <v>85</v>
      </c>
      <c r="H100" s="147">
        <v>1000000</v>
      </c>
      <c r="I100" s="147">
        <f t="shared" ref="I100:I131" si="17">H100/1920</f>
        <v>520.83333333333337</v>
      </c>
      <c r="J100" s="146">
        <f t="shared" ca="1" si="14"/>
        <v>10453.690152623876</v>
      </c>
      <c r="K100" s="146">
        <f t="shared" ref="K100:K131" si="18">I100/93</f>
        <v>5.6003584229390686</v>
      </c>
      <c r="L100" t="s">
        <v>496</v>
      </c>
    </row>
    <row r="101" spans="1:12" ht="14.25" customHeight="1">
      <c r="A101" s="143" t="s">
        <v>101</v>
      </c>
      <c r="B101" s="143" t="str">
        <f t="shared" si="15"/>
        <v>UX Researcher/UI/UX Designer 2 | 3-5 Years</v>
      </c>
      <c r="C101" s="143" t="s">
        <v>598</v>
      </c>
      <c r="D101" s="144" t="s">
        <v>520</v>
      </c>
      <c r="E101" s="145" t="s">
        <v>495</v>
      </c>
      <c r="F101" s="146">
        <v>192000</v>
      </c>
      <c r="G101" s="146">
        <f t="shared" si="16"/>
        <v>100</v>
      </c>
      <c r="H101" s="147">
        <v>1800000</v>
      </c>
      <c r="I101" s="147">
        <f t="shared" si="17"/>
        <v>937.5</v>
      </c>
      <c r="J101" s="146">
        <f t="shared" ca="1" si="14"/>
        <v>18816.642274722977</v>
      </c>
      <c r="K101" s="146">
        <f t="shared" si="18"/>
        <v>10.080645161290322</v>
      </c>
      <c r="L101" t="s">
        <v>496</v>
      </c>
    </row>
    <row r="102" spans="1:12" ht="14.25" customHeight="1">
      <c r="A102" s="143" t="s">
        <v>101</v>
      </c>
      <c r="B102" s="143" t="str">
        <f t="shared" si="15"/>
        <v>UX Researcher/UI/UX Designer 3 | 5-10 Years</v>
      </c>
      <c r="C102" s="143" t="s">
        <v>599</v>
      </c>
      <c r="D102" s="144" t="s">
        <v>494</v>
      </c>
      <c r="E102" s="145" t="s">
        <v>495</v>
      </c>
      <c r="F102" s="146">
        <v>249600</v>
      </c>
      <c r="G102" s="146">
        <f t="shared" si="16"/>
        <v>130</v>
      </c>
      <c r="H102" s="147">
        <v>3150000</v>
      </c>
      <c r="I102" s="147">
        <f t="shared" si="17"/>
        <v>1640.625</v>
      </c>
      <c r="J102" s="146">
        <f t="shared" ca="1" si="14"/>
        <v>32929.123980765209</v>
      </c>
      <c r="K102" s="146">
        <f t="shared" si="18"/>
        <v>17.641129032258064</v>
      </c>
      <c r="L102" t="s">
        <v>496</v>
      </c>
    </row>
    <row r="103" spans="1:12" ht="14.25" customHeight="1">
      <c r="A103" s="150" t="s">
        <v>171</v>
      </c>
      <c r="B103" s="143" t="str">
        <f t="shared" si="15"/>
        <v>AI/ML Engineer (Core AI) | 2–3 Years</v>
      </c>
      <c r="C103" s="150" t="s">
        <v>600</v>
      </c>
      <c r="D103" s="150" t="s">
        <v>601</v>
      </c>
      <c r="E103" s="150" t="s">
        <v>602</v>
      </c>
      <c r="F103" s="146">
        <v>110000</v>
      </c>
      <c r="G103" s="151">
        <f t="shared" si="16"/>
        <v>57.291666666666664</v>
      </c>
      <c r="H103" s="147">
        <v>1200000</v>
      </c>
      <c r="I103" s="147">
        <f t="shared" si="17"/>
        <v>625</v>
      </c>
      <c r="J103" s="146">
        <f t="shared" ca="1" si="14"/>
        <v>12544.428183148651</v>
      </c>
      <c r="K103" s="146">
        <f t="shared" si="18"/>
        <v>6.720430107526882</v>
      </c>
      <c r="L103" t="s">
        <v>603</v>
      </c>
    </row>
    <row r="104" spans="1:12" ht="14.25" customHeight="1">
      <c r="A104" s="150" t="s">
        <v>171</v>
      </c>
      <c r="B104" s="143" t="str">
        <f t="shared" si="15"/>
        <v>AI/ML Engineer (Core AI) | 3–5 Years</v>
      </c>
      <c r="C104" s="150" t="s">
        <v>600</v>
      </c>
      <c r="D104" s="150" t="s">
        <v>604</v>
      </c>
      <c r="E104" s="150" t="s">
        <v>602</v>
      </c>
      <c r="F104" s="146">
        <v>120000</v>
      </c>
      <c r="G104" s="151">
        <f t="shared" si="16"/>
        <v>62.5</v>
      </c>
      <c r="H104" s="147">
        <v>1900000</v>
      </c>
      <c r="I104" s="147">
        <f t="shared" si="17"/>
        <v>989.58333333333337</v>
      </c>
      <c r="J104" s="146">
        <f t="shared" ca="1" si="14"/>
        <v>19862.011289985367</v>
      </c>
      <c r="K104" s="146">
        <f t="shared" si="18"/>
        <v>10.640681003584231</v>
      </c>
      <c r="L104" t="s">
        <v>603</v>
      </c>
    </row>
    <row r="105" spans="1:12" ht="14.25" customHeight="1">
      <c r="A105" s="150" t="s">
        <v>171</v>
      </c>
      <c r="B105" s="143" t="str">
        <f t="shared" si="15"/>
        <v>AI/ML Engineer (Core AI) | 5–7 Years</v>
      </c>
      <c r="C105" s="150" t="s">
        <v>600</v>
      </c>
      <c r="D105" s="150" t="s">
        <v>605</v>
      </c>
      <c r="E105" s="150" t="s">
        <v>602</v>
      </c>
      <c r="F105" s="146">
        <v>135000</v>
      </c>
      <c r="G105" s="151">
        <f t="shared" si="16"/>
        <v>70.3125</v>
      </c>
      <c r="H105" s="147">
        <v>2600000</v>
      </c>
      <c r="I105" s="147">
        <f t="shared" si="17"/>
        <v>1354.1666666666667</v>
      </c>
      <c r="J105" s="146">
        <f t="shared" ca="1" si="14"/>
        <v>27179.594396822078</v>
      </c>
      <c r="K105" s="146">
        <f t="shared" si="18"/>
        <v>14.560931899641577</v>
      </c>
      <c r="L105" t="s">
        <v>603</v>
      </c>
    </row>
    <row r="106" spans="1:12" ht="14.25" customHeight="1">
      <c r="A106" s="150" t="s">
        <v>171</v>
      </c>
      <c r="B106" s="143" t="str">
        <f t="shared" si="15"/>
        <v>AI/ML Engineer (Core AI) | 8–10 Years</v>
      </c>
      <c r="C106" s="150" t="s">
        <v>600</v>
      </c>
      <c r="D106" s="150" t="s">
        <v>606</v>
      </c>
      <c r="E106" s="150" t="s">
        <v>602</v>
      </c>
      <c r="F106" s="146">
        <v>160000</v>
      </c>
      <c r="G106" s="151">
        <f t="shared" si="16"/>
        <v>83.333333333333329</v>
      </c>
      <c r="H106" s="147">
        <v>3900000</v>
      </c>
      <c r="I106" s="147">
        <f t="shared" si="17"/>
        <v>2031.25</v>
      </c>
      <c r="J106" s="146">
        <f t="shared" ca="1" si="14"/>
        <v>40769.391595233115</v>
      </c>
      <c r="K106" s="146">
        <f t="shared" si="18"/>
        <v>21.841397849462364</v>
      </c>
      <c r="L106" t="s">
        <v>603</v>
      </c>
    </row>
    <row r="107" spans="1:12" ht="14.25" customHeight="1">
      <c r="A107" s="150" t="s">
        <v>171</v>
      </c>
      <c r="B107" s="143" t="str">
        <f t="shared" si="15"/>
        <v>AI/ML Engineer (Core AI) | 10–15 Years</v>
      </c>
      <c r="C107" s="150" t="s">
        <v>600</v>
      </c>
      <c r="D107" s="150" t="s">
        <v>607</v>
      </c>
      <c r="E107" s="150" t="s">
        <v>602</v>
      </c>
      <c r="F107" s="146">
        <v>180000</v>
      </c>
      <c r="G107" s="151">
        <f t="shared" si="16"/>
        <v>93.75</v>
      </c>
      <c r="H107" s="147">
        <v>4750000</v>
      </c>
      <c r="I107" s="147">
        <f t="shared" si="17"/>
        <v>2473.9583333333335</v>
      </c>
      <c r="J107" s="146">
        <f t="shared" ca="1" si="14"/>
        <v>49655.028224963411</v>
      </c>
      <c r="K107" s="146">
        <f t="shared" si="18"/>
        <v>26.601702508960575</v>
      </c>
      <c r="L107" t="s">
        <v>603</v>
      </c>
    </row>
    <row r="108" spans="1:12" ht="14.25" customHeight="1">
      <c r="A108" s="150" t="s">
        <v>171</v>
      </c>
      <c r="B108" s="143" t="str">
        <f t="shared" si="15"/>
        <v>AI/ML Architect (Core AI) | 15+ Years</v>
      </c>
      <c r="C108" s="150" t="s">
        <v>608</v>
      </c>
      <c r="D108" s="150" t="s">
        <v>500</v>
      </c>
      <c r="E108" s="150" t="s">
        <v>602</v>
      </c>
      <c r="F108" s="146">
        <v>225000</v>
      </c>
      <c r="G108" s="151">
        <f t="shared" si="16"/>
        <v>117.1875</v>
      </c>
      <c r="H108" s="147">
        <v>7100000</v>
      </c>
      <c r="I108" s="147">
        <f t="shared" si="17"/>
        <v>3697.9166666666665</v>
      </c>
      <c r="J108" s="146">
        <f t="shared" ca="1" si="14"/>
        <v>74221.200083629519</v>
      </c>
      <c r="K108" s="146">
        <f t="shared" si="18"/>
        <v>39.762544802867382</v>
      </c>
      <c r="L108" t="s">
        <v>603</v>
      </c>
    </row>
    <row r="109" spans="1:12" ht="14.25" customHeight="1">
      <c r="A109" s="150" t="s">
        <v>171</v>
      </c>
      <c r="B109" s="143" t="str">
        <f t="shared" si="15"/>
        <v>AI Engineer (Generative AI) | 2–3 Years</v>
      </c>
      <c r="C109" s="150" t="s">
        <v>609</v>
      </c>
      <c r="D109" s="150" t="s">
        <v>601</v>
      </c>
      <c r="E109" s="150" t="s">
        <v>610</v>
      </c>
      <c r="F109" s="146">
        <v>115000</v>
      </c>
      <c r="G109" s="151">
        <f t="shared" si="16"/>
        <v>59.895833333333336</v>
      </c>
      <c r="H109" s="147">
        <v>1400000</v>
      </c>
      <c r="I109" s="147">
        <f t="shared" si="17"/>
        <v>729.16666666666663</v>
      </c>
      <c r="J109" s="146">
        <f t="shared" ca="1" si="14"/>
        <v>14635.166213673427</v>
      </c>
      <c r="K109" s="146">
        <f t="shared" si="18"/>
        <v>7.8405017921146953</v>
      </c>
      <c r="L109" t="s">
        <v>603</v>
      </c>
    </row>
    <row r="110" spans="1:12" ht="14.25" customHeight="1">
      <c r="A110" s="150" t="s">
        <v>171</v>
      </c>
      <c r="B110" s="143" t="str">
        <f t="shared" si="15"/>
        <v>AI Engineer (Generative AI) | 3–5 Years</v>
      </c>
      <c r="C110" s="150" t="s">
        <v>609</v>
      </c>
      <c r="D110" s="150" t="s">
        <v>604</v>
      </c>
      <c r="E110" s="150" t="s">
        <v>610</v>
      </c>
      <c r="F110" s="146">
        <v>135000</v>
      </c>
      <c r="G110" s="151">
        <f t="shared" si="16"/>
        <v>70.3125</v>
      </c>
      <c r="H110" s="147">
        <v>2500000</v>
      </c>
      <c r="I110" s="147">
        <f t="shared" si="17"/>
        <v>1302.0833333333333</v>
      </c>
      <c r="J110" s="146">
        <f t="shared" ca="1" si="14"/>
        <v>26134.225381559692</v>
      </c>
      <c r="K110" s="146">
        <f t="shared" si="18"/>
        <v>14.000896057347669</v>
      </c>
      <c r="L110" t="s">
        <v>603</v>
      </c>
    </row>
    <row r="111" spans="1:12" ht="14.25" customHeight="1">
      <c r="A111" s="150" t="s">
        <v>171</v>
      </c>
      <c r="B111" s="143" t="str">
        <f t="shared" si="15"/>
        <v>AI Engineer (Generative AI) | 5–7 Years</v>
      </c>
      <c r="C111" s="150" t="s">
        <v>609</v>
      </c>
      <c r="D111" s="150" t="s">
        <v>605</v>
      </c>
      <c r="E111" s="150" t="s">
        <v>610</v>
      </c>
      <c r="F111" s="146">
        <v>140000</v>
      </c>
      <c r="G111" s="151">
        <f t="shared" si="16"/>
        <v>72.916666666666671</v>
      </c>
      <c r="H111" s="147">
        <v>3900000</v>
      </c>
      <c r="I111" s="147">
        <f t="shared" si="17"/>
        <v>2031.25</v>
      </c>
      <c r="J111" s="146">
        <f t="shared" ca="1" si="14"/>
        <v>40769.391595233115</v>
      </c>
      <c r="K111" s="146">
        <f t="shared" si="18"/>
        <v>21.841397849462364</v>
      </c>
      <c r="L111" t="s">
        <v>603</v>
      </c>
    </row>
    <row r="112" spans="1:12" ht="14.25" customHeight="1">
      <c r="A112" s="150" t="s">
        <v>171</v>
      </c>
      <c r="B112" s="143" t="str">
        <f t="shared" si="15"/>
        <v>AI Engineer (Generative AI) | 8–10 Years</v>
      </c>
      <c r="C112" s="150" t="s">
        <v>609</v>
      </c>
      <c r="D112" s="150" t="s">
        <v>606</v>
      </c>
      <c r="E112" s="150" t="s">
        <v>610</v>
      </c>
      <c r="F112" s="146">
        <v>172000</v>
      </c>
      <c r="G112" s="151">
        <f t="shared" si="16"/>
        <v>89.583333333333329</v>
      </c>
      <c r="H112" s="147">
        <v>5200000</v>
      </c>
      <c r="I112" s="147">
        <f t="shared" si="17"/>
        <v>2708.3333333333335</v>
      </c>
      <c r="J112" s="146">
        <f t="shared" ca="1" si="14"/>
        <v>54359.188793644156</v>
      </c>
      <c r="K112" s="146">
        <f t="shared" si="18"/>
        <v>29.121863799283155</v>
      </c>
      <c r="L112" t="s">
        <v>603</v>
      </c>
    </row>
    <row r="113" spans="1:12" ht="14.25" customHeight="1">
      <c r="A113" s="150" t="s">
        <v>171</v>
      </c>
      <c r="B113" s="143" t="str">
        <f t="shared" si="15"/>
        <v>AI Engineer (Generative AI) | 10–15 Years</v>
      </c>
      <c r="C113" s="150" t="s">
        <v>609</v>
      </c>
      <c r="D113" s="150" t="s">
        <v>607</v>
      </c>
      <c r="E113" s="150" t="s">
        <v>610</v>
      </c>
      <c r="F113" s="146">
        <v>192000</v>
      </c>
      <c r="G113" s="151">
        <f t="shared" si="16"/>
        <v>100</v>
      </c>
      <c r="H113" s="147">
        <v>7000000</v>
      </c>
      <c r="I113" s="147">
        <f t="shared" si="17"/>
        <v>3645.8333333333335</v>
      </c>
      <c r="J113" s="146">
        <f t="shared" ca="1" si="14"/>
        <v>73175.83106836713</v>
      </c>
      <c r="K113" s="146">
        <f t="shared" si="18"/>
        <v>39.202508960573475</v>
      </c>
      <c r="L113" t="s">
        <v>603</v>
      </c>
    </row>
    <row r="114" spans="1:12" ht="14.25" customHeight="1">
      <c r="A114" s="150" t="s">
        <v>171</v>
      </c>
      <c r="B114" s="143" t="str">
        <f t="shared" si="15"/>
        <v>AI Architect (Generative AI) | 10–15 Years</v>
      </c>
      <c r="C114" s="150" t="s">
        <v>611</v>
      </c>
      <c r="D114" s="150" t="s">
        <v>607</v>
      </c>
      <c r="E114" s="150" t="s">
        <v>612</v>
      </c>
      <c r="F114" s="146">
        <v>200000</v>
      </c>
      <c r="G114" s="151">
        <f t="shared" si="16"/>
        <v>104.16666666666667</v>
      </c>
      <c r="H114" s="147">
        <v>7500000</v>
      </c>
      <c r="I114" s="147">
        <f t="shared" si="17"/>
        <v>3906.25</v>
      </c>
      <c r="J114" s="146">
        <f t="shared" ca="1" si="14"/>
        <v>78402.676144679077</v>
      </c>
      <c r="K114" s="146">
        <f t="shared" si="18"/>
        <v>42.002688172043008</v>
      </c>
      <c r="L114" t="s">
        <v>603</v>
      </c>
    </row>
    <row r="115" spans="1:12" ht="14.25" customHeight="1">
      <c r="A115" s="150" t="s">
        <v>171</v>
      </c>
      <c r="B115" s="143" t="str">
        <f t="shared" si="15"/>
        <v>AI Engineer (Agentic AI) | 2–3 Years</v>
      </c>
      <c r="C115" s="150" t="s">
        <v>613</v>
      </c>
      <c r="D115" s="150" t="s">
        <v>601</v>
      </c>
      <c r="E115" s="150" t="s">
        <v>614</v>
      </c>
      <c r="F115" s="146">
        <v>112000</v>
      </c>
      <c r="G115" s="151">
        <f t="shared" si="16"/>
        <v>58.333333333333336</v>
      </c>
      <c r="H115" s="147">
        <v>1800000</v>
      </c>
      <c r="I115" s="147">
        <f t="shared" si="17"/>
        <v>937.5</v>
      </c>
      <c r="J115" s="146">
        <f t="shared" ca="1" si="14"/>
        <v>18816.642274722977</v>
      </c>
      <c r="K115" s="146">
        <f t="shared" si="18"/>
        <v>10.080645161290322</v>
      </c>
      <c r="L115" t="s">
        <v>603</v>
      </c>
    </row>
    <row r="116" spans="1:12" ht="14.25" customHeight="1">
      <c r="A116" s="150" t="s">
        <v>171</v>
      </c>
      <c r="B116" s="143" t="str">
        <f t="shared" si="15"/>
        <v>AI Engineer (Agentic AI) | 3–5 Years</v>
      </c>
      <c r="C116" s="150" t="s">
        <v>613</v>
      </c>
      <c r="D116" s="150" t="s">
        <v>604</v>
      </c>
      <c r="E116" s="150" t="s">
        <v>614</v>
      </c>
      <c r="F116" s="146">
        <v>140000</v>
      </c>
      <c r="G116" s="151">
        <f t="shared" si="16"/>
        <v>72.916666666666671</v>
      </c>
      <c r="H116" s="147">
        <v>2900000</v>
      </c>
      <c r="I116" s="147">
        <f t="shared" si="17"/>
        <v>1510.4166666666667</v>
      </c>
      <c r="J116" s="146">
        <f t="shared" ca="1" si="14"/>
        <v>30315.701442609243</v>
      </c>
      <c r="K116" s="146">
        <f t="shared" si="18"/>
        <v>16.241039426523297</v>
      </c>
      <c r="L116" t="s">
        <v>603</v>
      </c>
    </row>
    <row r="117" spans="1:12" ht="14.25" customHeight="1">
      <c r="A117" s="150" t="s">
        <v>171</v>
      </c>
      <c r="B117" s="143" t="str">
        <f t="shared" si="15"/>
        <v>AI Engineer (Agentic AI) | 5–7 Years</v>
      </c>
      <c r="C117" s="150" t="s">
        <v>613</v>
      </c>
      <c r="D117" s="150" t="s">
        <v>605</v>
      </c>
      <c r="E117" s="150" t="s">
        <v>614</v>
      </c>
      <c r="F117" s="146">
        <v>145000</v>
      </c>
      <c r="G117" s="151">
        <f t="shared" si="16"/>
        <v>75.520833333333329</v>
      </c>
      <c r="H117" s="147">
        <v>4300000</v>
      </c>
      <c r="I117" s="147">
        <f t="shared" si="17"/>
        <v>2239.5833333333335</v>
      </c>
      <c r="J117" s="146">
        <f t="shared" ca="1" si="14"/>
        <v>44950.867656282666</v>
      </c>
      <c r="K117" s="146">
        <f t="shared" si="18"/>
        <v>24.081541218637994</v>
      </c>
      <c r="L117" t="s">
        <v>603</v>
      </c>
    </row>
    <row r="118" spans="1:12" ht="14.25" customHeight="1">
      <c r="A118" s="150" t="s">
        <v>171</v>
      </c>
      <c r="B118" s="143" t="str">
        <f t="shared" si="15"/>
        <v>AI Engineer (Agentic AI) | 8–10 Years</v>
      </c>
      <c r="C118" s="150" t="s">
        <v>613</v>
      </c>
      <c r="D118" s="150" t="s">
        <v>606</v>
      </c>
      <c r="E118" s="150" t="s">
        <v>614</v>
      </c>
      <c r="F118" s="146">
        <v>178000</v>
      </c>
      <c r="G118" s="151">
        <f t="shared" si="16"/>
        <v>92.708333333333329</v>
      </c>
      <c r="H118" s="147">
        <v>5500000</v>
      </c>
      <c r="I118" s="147">
        <f t="shared" si="17"/>
        <v>2864.5833333333335</v>
      </c>
      <c r="J118" s="146">
        <f t="shared" ca="1" si="14"/>
        <v>57495.295839431325</v>
      </c>
      <c r="K118" s="146">
        <f t="shared" si="18"/>
        <v>30.801971326164875</v>
      </c>
      <c r="L118" t="s">
        <v>603</v>
      </c>
    </row>
    <row r="119" spans="1:12" ht="14.25" customHeight="1">
      <c r="A119" s="150" t="s">
        <v>171</v>
      </c>
      <c r="B119" s="143" t="str">
        <f t="shared" si="15"/>
        <v>AI Engineer (Agentic AI) | 10–15 Years</v>
      </c>
      <c r="C119" s="150" t="s">
        <v>613</v>
      </c>
      <c r="D119" s="150" t="s">
        <v>607</v>
      </c>
      <c r="E119" s="150" t="s">
        <v>614</v>
      </c>
      <c r="F119" s="146">
        <v>200000</v>
      </c>
      <c r="G119" s="151">
        <f t="shared" si="16"/>
        <v>104.16666666666667</v>
      </c>
      <c r="H119" s="147">
        <v>7150000</v>
      </c>
      <c r="I119" s="147">
        <f t="shared" si="17"/>
        <v>3723.9583333333335</v>
      </c>
      <c r="J119" s="146">
        <f t="shared" ca="1" si="14"/>
        <v>74743.884591260721</v>
      </c>
      <c r="K119" s="146">
        <f t="shared" si="18"/>
        <v>40.042562724014338</v>
      </c>
      <c r="L119" t="s">
        <v>603</v>
      </c>
    </row>
    <row r="120" spans="1:12" ht="14.25" customHeight="1">
      <c r="A120" s="150" t="s">
        <v>171</v>
      </c>
      <c r="B120" s="143" t="str">
        <f t="shared" si="15"/>
        <v>AI Architect (Agentic AI) | 15+ Years</v>
      </c>
      <c r="C120" s="150" t="s">
        <v>615</v>
      </c>
      <c r="D120" s="150" t="s">
        <v>500</v>
      </c>
      <c r="E120" s="150" t="s">
        <v>612</v>
      </c>
      <c r="F120" s="146">
        <v>250000</v>
      </c>
      <c r="G120" s="151">
        <f t="shared" si="16"/>
        <v>130.20833333333334</v>
      </c>
      <c r="H120" s="147">
        <v>7750000</v>
      </c>
      <c r="I120" s="147">
        <f t="shared" si="17"/>
        <v>4036.4583333333335</v>
      </c>
      <c r="J120" s="146">
        <f t="shared" ca="1" si="14"/>
        <v>81016.098682835043</v>
      </c>
      <c r="K120" s="146">
        <f t="shared" si="18"/>
        <v>43.402777777777779</v>
      </c>
      <c r="L120" t="s">
        <v>603</v>
      </c>
    </row>
    <row r="121" spans="1:12" ht="14.25" customHeight="1">
      <c r="A121" s="143" t="s">
        <v>171</v>
      </c>
      <c r="B121" s="143" t="str">
        <f t="shared" si="15"/>
        <v>AIOps 1 | 2-3 Years</v>
      </c>
      <c r="C121" s="143" t="s">
        <v>616</v>
      </c>
      <c r="D121" s="144" t="s">
        <v>518</v>
      </c>
      <c r="E121" s="145" t="s">
        <v>617</v>
      </c>
      <c r="F121" s="146">
        <v>115000</v>
      </c>
      <c r="G121" s="146">
        <f t="shared" si="16"/>
        <v>59.895833333333336</v>
      </c>
      <c r="H121" s="147">
        <v>1550000</v>
      </c>
      <c r="I121" s="147">
        <f t="shared" si="17"/>
        <v>807.29166666666663</v>
      </c>
      <c r="J121" s="146">
        <f t="shared" ca="1" si="14"/>
        <v>16203.219736567009</v>
      </c>
      <c r="K121" s="146">
        <f t="shared" si="18"/>
        <v>8.6805555555555554</v>
      </c>
      <c r="L121" t="s">
        <v>603</v>
      </c>
    </row>
    <row r="122" spans="1:12" ht="14.25" customHeight="1">
      <c r="A122" s="143" t="s">
        <v>171</v>
      </c>
      <c r="B122" s="143" t="str">
        <f t="shared" si="15"/>
        <v>AIOps 2 | 3-5 Years</v>
      </c>
      <c r="C122" s="143" t="s">
        <v>618</v>
      </c>
      <c r="D122" s="144" t="s">
        <v>520</v>
      </c>
      <c r="E122" s="145" t="s">
        <v>617</v>
      </c>
      <c r="F122" s="146">
        <v>135000</v>
      </c>
      <c r="G122" s="146">
        <f t="shared" si="16"/>
        <v>70.3125</v>
      </c>
      <c r="H122" s="147">
        <v>2450000</v>
      </c>
      <c r="I122" s="147">
        <f t="shared" si="17"/>
        <v>1276.0416666666667</v>
      </c>
      <c r="J122" s="146">
        <f t="shared" ca="1" si="14"/>
        <v>25611.540873928498</v>
      </c>
      <c r="K122" s="146">
        <f t="shared" si="18"/>
        <v>13.720878136200717</v>
      </c>
      <c r="L122" t="s">
        <v>603</v>
      </c>
    </row>
    <row r="123" spans="1:12" ht="14.25" customHeight="1">
      <c r="A123" s="143" t="s">
        <v>171</v>
      </c>
      <c r="B123" s="143" t="str">
        <f t="shared" si="15"/>
        <v>AIOps 3 | 5-10 Years</v>
      </c>
      <c r="C123" s="143" t="s">
        <v>619</v>
      </c>
      <c r="D123" s="144" t="s">
        <v>494</v>
      </c>
      <c r="E123" s="145" t="s">
        <v>617</v>
      </c>
      <c r="F123" s="146">
        <v>145000</v>
      </c>
      <c r="G123" s="146">
        <f t="shared" si="16"/>
        <v>75.520833333333329</v>
      </c>
      <c r="H123" s="147">
        <v>3600000</v>
      </c>
      <c r="I123" s="147">
        <f t="shared" si="17"/>
        <v>1875</v>
      </c>
      <c r="J123" s="146">
        <f t="shared" ca="1" si="14"/>
        <v>37633.284549445954</v>
      </c>
      <c r="K123" s="146">
        <f t="shared" si="18"/>
        <v>20.161290322580644</v>
      </c>
      <c r="L123" t="s">
        <v>603</v>
      </c>
    </row>
    <row r="124" spans="1:12" ht="14.25" customHeight="1">
      <c r="A124" s="143" t="s">
        <v>171</v>
      </c>
      <c r="B124" s="143" t="str">
        <f t="shared" si="15"/>
        <v>AIOps 4 | 10-15 Years</v>
      </c>
      <c r="C124" s="143" t="s">
        <v>620</v>
      </c>
      <c r="D124" s="144" t="s">
        <v>498</v>
      </c>
      <c r="E124" s="145" t="s">
        <v>617</v>
      </c>
      <c r="F124" s="146">
        <v>172000</v>
      </c>
      <c r="G124" s="146">
        <f t="shared" si="16"/>
        <v>89.583333333333329</v>
      </c>
      <c r="H124" s="147">
        <v>5450000</v>
      </c>
      <c r="I124" s="147">
        <f t="shared" si="17"/>
        <v>2838.5416666666665</v>
      </c>
      <c r="J124" s="146">
        <f t="shared" ca="1" si="14"/>
        <v>56972.61133180013</v>
      </c>
      <c r="K124" s="146">
        <f t="shared" si="18"/>
        <v>30.521953405017918</v>
      </c>
      <c r="L124" t="s">
        <v>603</v>
      </c>
    </row>
    <row r="125" spans="1:12" ht="14.25" customHeight="1">
      <c r="A125" s="143" t="s">
        <v>171</v>
      </c>
      <c r="B125" s="143" t="str">
        <f t="shared" si="15"/>
        <v>AIOps 5 | 15+ Years</v>
      </c>
      <c r="C125" s="143" t="s">
        <v>621</v>
      </c>
      <c r="D125" s="148" t="s">
        <v>500</v>
      </c>
      <c r="E125" s="145" t="s">
        <v>617</v>
      </c>
      <c r="F125" s="146">
        <v>200000</v>
      </c>
      <c r="G125" s="146">
        <f t="shared" si="16"/>
        <v>104.16666666666667</v>
      </c>
      <c r="H125" s="147">
        <v>7250000</v>
      </c>
      <c r="I125" s="147">
        <f t="shared" si="17"/>
        <v>3776.0416666666665</v>
      </c>
      <c r="J125" s="146">
        <f t="shared" ref="J125:J156" ca="1" si="19">H125/$B$1</f>
        <v>75789.253606523111</v>
      </c>
      <c r="K125" s="146">
        <f t="shared" si="18"/>
        <v>40.602598566308245</v>
      </c>
      <c r="L125" t="s">
        <v>603</v>
      </c>
    </row>
    <row r="126" spans="1:12" ht="14.25" customHeight="1">
      <c r="A126" s="143" t="s">
        <v>179</v>
      </c>
      <c r="B126" s="143" t="str">
        <f t="shared" si="15"/>
        <v>Business Analyst 1 | 2-3 Years</v>
      </c>
      <c r="C126" s="143" t="s">
        <v>622</v>
      </c>
      <c r="D126" s="144" t="s">
        <v>518</v>
      </c>
      <c r="E126" s="145" t="s">
        <v>495</v>
      </c>
      <c r="F126" s="146">
        <v>250000</v>
      </c>
      <c r="G126" s="146">
        <f t="shared" si="16"/>
        <v>130.20833333333334</v>
      </c>
      <c r="H126" s="147">
        <v>1000000</v>
      </c>
      <c r="I126" s="147">
        <f t="shared" si="17"/>
        <v>520.83333333333337</v>
      </c>
      <c r="J126" s="146">
        <f t="shared" ca="1" si="19"/>
        <v>10453.690152623876</v>
      </c>
      <c r="K126" s="146">
        <f t="shared" si="18"/>
        <v>5.6003584229390686</v>
      </c>
      <c r="L126" t="s">
        <v>623</v>
      </c>
    </row>
    <row r="127" spans="1:12" ht="14.25" customHeight="1">
      <c r="A127" s="143" t="s">
        <v>179</v>
      </c>
      <c r="B127" s="143" t="str">
        <f t="shared" si="15"/>
        <v>Business Analyst 2 | 3-5 Years</v>
      </c>
      <c r="C127" s="143" t="s">
        <v>624</v>
      </c>
      <c r="D127" s="144" t="s">
        <v>520</v>
      </c>
      <c r="E127" s="145" t="s">
        <v>495</v>
      </c>
      <c r="F127" s="146">
        <v>121927.67999999999</v>
      </c>
      <c r="G127" s="146">
        <f t="shared" si="16"/>
        <v>63.503999999999998</v>
      </c>
      <c r="H127" s="147">
        <v>1600000</v>
      </c>
      <c r="I127" s="147">
        <f t="shared" si="17"/>
        <v>833.33333333333337</v>
      </c>
      <c r="J127" s="146">
        <f t="shared" ca="1" si="19"/>
        <v>16725.904244198202</v>
      </c>
      <c r="K127" s="146">
        <f t="shared" si="18"/>
        <v>8.9605734767025087</v>
      </c>
      <c r="L127" t="s">
        <v>623</v>
      </c>
    </row>
    <row r="128" spans="1:12" ht="14.25" customHeight="1">
      <c r="A128" s="143" t="s">
        <v>179</v>
      </c>
      <c r="B128" s="143" t="str">
        <f t="shared" si="15"/>
        <v>Business Analyst 3 | 5-10 Years</v>
      </c>
      <c r="C128" s="143" t="s">
        <v>625</v>
      </c>
      <c r="D128" s="144" t="s">
        <v>494</v>
      </c>
      <c r="E128" s="145" t="s">
        <v>495</v>
      </c>
      <c r="F128" s="146">
        <v>147840</v>
      </c>
      <c r="G128" s="146">
        <f t="shared" si="16"/>
        <v>77</v>
      </c>
      <c r="H128" s="147">
        <v>2500000</v>
      </c>
      <c r="I128" s="147">
        <f t="shared" si="17"/>
        <v>1302.0833333333333</v>
      </c>
      <c r="J128" s="146">
        <f t="shared" ca="1" si="19"/>
        <v>26134.225381559692</v>
      </c>
      <c r="K128" s="146">
        <f t="shared" si="18"/>
        <v>14.000896057347669</v>
      </c>
      <c r="L128" t="s">
        <v>623</v>
      </c>
    </row>
    <row r="129" spans="1:14" ht="14.25" customHeight="1">
      <c r="A129" s="143" t="s">
        <v>179</v>
      </c>
      <c r="B129" s="143" t="str">
        <f t="shared" si="15"/>
        <v>Business Analyst 4 | 10-15 Years</v>
      </c>
      <c r="C129" s="143" t="s">
        <v>626</v>
      </c>
      <c r="D129" s="144" t="s">
        <v>498</v>
      </c>
      <c r="E129" s="145" t="s">
        <v>495</v>
      </c>
      <c r="F129" s="146">
        <v>209280</v>
      </c>
      <c r="G129" s="146">
        <f t="shared" si="16"/>
        <v>109</v>
      </c>
      <c r="H129" s="147">
        <v>3750000</v>
      </c>
      <c r="I129" s="147">
        <f t="shared" si="17"/>
        <v>1953.125</v>
      </c>
      <c r="J129" s="146">
        <f t="shared" ca="1" si="19"/>
        <v>39201.338072339538</v>
      </c>
      <c r="K129" s="146">
        <f t="shared" si="18"/>
        <v>21.001344086021504</v>
      </c>
      <c r="L129" t="s">
        <v>623</v>
      </c>
    </row>
    <row r="130" spans="1:14" ht="14.25" customHeight="1">
      <c r="A130" s="143" t="s">
        <v>179</v>
      </c>
      <c r="B130" s="143" t="str">
        <f t="shared" si="15"/>
        <v>Business Analyst 5 | 15+ Years</v>
      </c>
      <c r="C130" s="143" t="s">
        <v>627</v>
      </c>
      <c r="D130" s="148" t="s">
        <v>500</v>
      </c>
      <c r="E130" s="145" t="s">
        <v>495</v>
      </c>
      <c r="F130" s="146">
        <v>270720</v>
      </c>
      <c r="G130" s="146">
        <f t="shared" si="16"/>
        <v>141</v>
      </c>
      <c r="H130" s="147">
        <v>5500000</v>
      </c>
      <c r="I130" s="147">
        <f t="shared" si="17"/>
        <v>2864.5833333333335</v>
      </c>
      <c r="J130" s="146">
        <f t="shared" ca="1" si="19"/>
        <v>57495.295839431325</v>
      </c>
      <c r="K130" s="146">
        <f t="shared" si="18"/>
        <v>30.801971326164875</v>
      </c>
      <c r="L130" t="s">
        <v>623</v>
      </c>
    </row>
    <row r="131" spans="1:14" ht="14.25" customHeight="1">
      <c r="A131" s="143" t="s">
        <v>179</v>
      </c>
      <c r="B131" s="143" t="str">
        <f t="shared" si="15"/>
        <v>Project Manager 1 | 2-3 Years</v>
      </c>
      <c r="C131" s="143" t="s">
        <v>628</v>
      </c>
      <c r="D131" s="144" t="s">
        <v>518</v>
      </c>
      <c r="E131" s="145" t="s">
        <v>495</v>
      </c>
      <c r="F131" s="146">
        <v>101606.39999999999</v>
      </c>
      <c r="G131" s="146">
        <f t="shared" si="16"/>
        <v>52.919999999999995</v>
      </c>
      <c r="H131" s="147">
        <v>1400000</v>
      </c>
      <c r="I131" s="147">
        <f t="shared" si="17"/>
        <v>729.16666666666663</v>
      </c>
      <c r="J131" s="146">
        <f t="shared" ca="1" si="19"/>
        <v>14635.166213673427</v>
      </c>
      <c r="K131" s="146">
        <f t="shared" si="18"/>
        <v>7.8405017921146953</v>
      </c>
      <c r="L131" t="s">
        <v>623</v>
      </c>
    </row>
    <row r="132" spans="1:14" ht="14.25" customHeight="1">
      <c r="A132" s="143" t="s">
        <v>179</v>
      </c>
      <c r="B132" s="143" t="str">
        <f t="shared" ref="B132:B163" si="20">CONCATENATE(C132, " | ",D132)</f>
        <v>Project Manager 2 | 3-5 Years</v>
      </c>
      <c r="C132" s="143" t="s">
        <v>629</v>
      </c>
      <c r="D132" s="144" t="s">
        <v>520</v>
      </c>
      <c r="E132" s="145" t="s">
        <v>495</v>
      </c>
      <c r="F132" s="146">
        <v>121927.67999999999</v>
      </c>
      <c r="G132" s="146">
        <f t="shared" ref="G132:G151" si="21">F132/1920</f>
        <v>63.503999999999998</v>
      </c>
      <c r="H132" s="147">
        <v>2150000</v>
      </c>
      <c r="I132" s="147">
        <f t="shared" ref="I132:I163" si="22">H132/1920</f>
        <v>1119.7916666666667</v>
      </c>
      <c r="J132" s="146">
        <f t="shared" ca="1" si="19"/>
        <v>22475.433828141333</v>
      </c>
      <c r="K132" s="146">
        <f t="shared" ref="K132:K159" si="23">I132/93</f>
        <v>12.040770609318997</v>
      </c>
      <c r="L132" t="s">
        <v>623</v>
      </c>
    </row>
    <row r="133" spans="1:14" ht="14.25" customHeight="1">
      <c r="A133" s="143" t="s">
        <v>179</v>
      </c>
      <c r="B133" s="143" t="str">
        <f t="shared" si="20"/>
        <v>Project Manager 3 | 5-10 Years</v>
      </c>
      <c r="C133" s="143" t="s">
        <v>630</v>
      </c>
      <c r="D133" s="144" t="s">
        <v>494</v>
      </c>
      <c r="E133" s="145" t="s">
        <v>495</v>
      </c>
      <c r="F133" s="146">
        <v>170880</v>
      </c>
      <c r="G133" s="146">
        <f t="shared" si="21"/>
        <v>89</v>
      </c>
      <c r="H133" s="147">
        <v>2900000</v>
      </c>
      <c r="I133" s="147">
        <f t="shared" si="22"/>
        <v>1510.4166666666667</v>
      </c>
      <c r="J133" s="146">
        <f t="shared" ca="1" si="19"/>
        <v>30315.701442609243</v>
      </c>
      <c r="K133" s="146">
        <f t="shared" si="23"/>
        <v>16.241039426523297</v>
      </c>
      <c r="L133" t="s">
        <v>623</v>
      </c>
    </row>
    <row r="134" spans="1:14" ht="14.25" customHeight="1">
      <c r="A134" s="143" t="s">
        <v>179</v>
      </c>
      <c r="B134" s="143" t="str">
        <f t="shared" si="20"/>
        <v>Project Manager 4 | 10-15 Years</v>
      </c>
      <c r="C134" s="143" t="s">
        <v>631</v>
      </c>
      <c r="D134" s="144" t="s">
        <v>498</v>
      </c>
      <c r="E134" s="145" t="s">
        <v>495</v>
      </c>
      <c r="F134" s="146">
        <v>228480</v>
      </c>
      <c r="G134" s="146">
        <f t="shared" si="21"/>
        <v>119</v>
      </c>
      <c r="H134" s="147">
        <v>3750000</v>
      </c>
      <c r="I134" s="147">
        <f t="shared" si="22"/>
        <v>1953.125</v>
      </c>
      <c r="J134" s="146">
        <f t="shared" ca="1" si="19"/>
        <v>39201.338072339538</v>
      </c>
      <c r="K134" s="146">
        <f t="shared" si="23"/>
        <v>21.001344086021504</v>
      </c>
      <c r="L134" t="s">
        <v>623</v>
      </c>
    </row>
    <row r="135" spans="1:14" ht="14.25" customHeight="1">
      <c r="A135" s="143" t="s">
        <v>179</v>
      </c>
      <c r="B135" s="143" t="str">
        <f t="shared" si="20"/>
        <v>Project Manager 5 | 15+ Years</v>
      </c>
      <c r="C135" s="143" t="s">
        <v>632</v>
      </c>
      <c r="D135" s="148" t="s">
        <v>500</v>
      </c>
      <c r="E135" s="145" t="s">
        <v>495</v>
      </c>
      <c r="F135" s="146">
        <v>286080</v>
      </c>
      <c r="G135" s="146">
        <f t="shared" si="21"/>
        <v>149</v>
      </c>
      <c r="H135" s="147">
        <v>2375000</v>
      </c>
      <c r="I135" s="147">
        <f t="shared" si="22"/>
        <v>1236.9791666666667</v>
      </c>
      <c r="J135" s="146">
        <f t="shared" ca="1" si="19"/>
        <v>24827.514112481706</v>
      </c>
      <c r="K135" s="146">
        <f t="shared" si="23"/>
        <v>13.300851254480287</v>
      </c>
      <c r="L135" t="s">
        <v>623</v>
      </c>
    </row>
    <row r="136" spans="1:14" ht="14.25" customHeight="1">
      <c r="A136" s="143" t="s">
        <v>179</v>
      </c>
      <c r="B136" s="143" t="str">
        <f t="shared" si="20"/>
        <v>Scrum Master 1 | 2-3 Years</v>
      </c>
      <c r="C136" s="143" t="s">
        <v>633</v>
      </c>
      <c r="D136" s="144" t="s">
        <v>518</v>
      </c>
      <c r="E136" s="145" t="s">
        <v>495</v>
      </c>
      <c r="F136" s="146">
        <v>87091.199999999997</v>
      </c>
      <c r="G136" s="146">
        <f t="shared" si="21"/>
        <v>45.36</v>
      </c>
      <c r="H136" s="147">
        <v>1650000</v>
      </c>
      <c r="I136" s="147">
        <f t="shared" si="22"/>
        <v>859.375</v>
      </c>
      <c r="J136" s="146">
        <f t="shared" ca="1" si="19"/>
        <v>17248.588751829397</v>
      </c>
      <c r="K136" s="146">
        <f t="shared" si="23"/>
        <v>9.240591397849462</v>
      </c>
      <c r="L136" t="s">
        <v>623</v>
      </c>
    </row>
    <row r="137" spans="1:14" ht="14.25" customHeight="1">
      <c r="A137" s="143" t="s">
        <v>179</v>
      </c>
      <c r="B137" s="143" t="str">
        <f t="shared" si="20"/>
        <v>Scrum Master 2 | 3-5 Years</v>
      </c>
      <c r="C137" s="143" t="s">
        <v>634</v>
      </c>
      <c r="D137" s="144" t="s">
        <v>520</v>
      </c>
      <c r="E137" s="145" t="s">
        <v>495</v>
      </c>
      <c r="F137" s="146">
        <v>121927.67999999999</v>
      </c>
      <c r="G137" s="146">
        <f t="shared" si="21"/>
        <v>63.503999999999998</v>
      </c>
      <c r="H137" s="147">
        <v>2600000</v>
      </c>
      <c r="I137" s="147">
        <f t="shared" si="22"/>
        <v>1354.1666666666667</v>
      </c>
      <c r="J137" s="146">
        <f t="shared" ca="1" si="19"/>
        <v>27179.594396822078</v>
      </c>
      <c r="K137" s="146">
        <f t="shared" si="23"/>
        <v>14.560931899641577</v>
      </c>
      <c r="L137" t="s">
        <v>623</v>
      </c>
    </row>
    <row r="138" spans="1:14" ht="14.25" customHeight="1">
      <c r="A138" s="143" t="s">
        <v>179</v>
      </c>
      <c r="B138" s="143" t="str">
        <f t="shared" si="20"/>
        <v>Scrum Master 3 | 5-10 Years</v>
      </c>
      <c r="C138" s="143" t="s">
        <v>635</v>
      </c>
      <c r="D138" s="144" t="s">
        <v>494</v>
      </c>
      <c r="E138" s="145" t="s">
        <v>495</v>
      </c>
      <c r="F138" s="146">
        <v>170880</v>
      </c>
      <c r="G138" s="146">
        <f t="shared" si="21"/>
        <v>89</v>
      </c>
      <c r="H138" s="147">
        <v>3750000</v>
      </c>
      <c r="I138" s="147">
        <f t="shared" si="22"/>
        <v>1953.125</v>
      </c>
      <c r="J138" s="146">
        <f t="shared" ca="1" si="19"/>
        <v>39201.338072339538</v>
      </c>
      <c r="K138" s="146">
        <f t="shared" si="23"/>
        <v>21.001344086021504</v>
      </c>
      <c r="L138" t="s">
        <v>623</v>
      </c>
    </row>
    <row r="139" spans="1:14" ht="14.25" customHeight="1">
      <c r="A139" s="143" t="s">
        <v>179</v>
      </c>
      <c r="B139" s="143" t="str">
        <f t="shared" si="20"/>
        <v>Scrum Master 4 | 10-15 Years</v>
      </c>
      <c r="C139" s="143" t="s">
        <v>636</v>
      </c>
      <c r="D139" s="144" t="s">
        <v>498</v>
      </c>
      <c r="E139" s="145" t="s">
        <v>495</v>
      </c>
      <c r="F139" s="146">
        <v>228480</v>
      </c>
      <c r="G139" s="146">
        <f t="shared" si="21"/>
        <v>119</v>
      </c>
      <c r="H139" s="147">
        <v>5000000</v>
      </c>
      <c r="I139" s="147">
        <f t="shared" si="22"/>
        <v>2604.1666666666665</v>
      </c>
      <c r="J139" s="146">
        <f t="shared" ca="1" si="19"/>
        <v>52268.450763119385</v>
      </c>
      <c r="K139" s="146">
        <f t="shared" si="23"/>
        <v>28.001792114695338</v>
      </c>
      <c r="L139" t="s">
        <v>623</v>
      </c>
    </row>
    <row r="140" spans="1:14" ht="14.25" customHeight="1">
      <c r="A140" s="143" t="s">
        <v>179</v>
      </c>
      <c r="B140" s="143" t="str">
        <f t="shared" si="20"/>
        <v>Scrum Master 5 | 15+ Years</v>
      </c>
      <c r="C140" s="143" t="s">
        <v>637</v>
      </c>
      <c r="D140" s="148" t="s">
        <v>500</v>
      </c>
      <c r="E140" s="145" t="s">
        <v>495</v>
      </c>
      <c r="F140" s="146">
        <v>286080</v>
      </c>
      <c r="G140" s="146">
        <f t="shared" si="21"/>
        <v>149</v>
      </c>
      <c r="H140" s="147">
        <v>6250000</v>
      </c>
      <c r="I140" s="147">
        <f t="shared" si="22"/>
        <v>3255.2083333333335</v>
      </c>
      <c r="J140" s="146">
        <f t="shared" ca="1" si="19"/>
        <v>65335.563453899231</v>
      </c>
      <c r="K140" s="146">
        <f t="shared" si="23"/>
        <v>35.002240143369178</v>
      </c>
      <c r="L140" t="s">
        <v>623</v>
      </c>
      <c r="N140" s="147"/>
    </row>
    <row r="141" spans="1:14" ht="14.25" customHeight="1">
      <c r="A141" s="143" t="s">
        <v>179</v>
      </c>
      <c r="B141" s="143" t="str">
        <f t="shared" si="20"/>
        <v>Technical Program Manager 1 | 3-5 Years</v>
      </c>
      <c r="C141" s="143" t="s">
        <v>638</v>
      </c>
      <c r="D141" s="144" t="s">
        <v>520</v>
      </c>
      <c r="E141" s="145" t="s">
        <v>495</v>
      </c>
      <c r="F141" s="146">
        <v>145152</v>
      </c>
      <c r="G141" s="146">
        <f t="shared" si="21"/>
        <v>75.599999999999994</v>
      </c>
      <c r="H141" s="147">
        <v>2150000</v>
      </c>
      <c r="I141" s="147">
        <f t="shared" si="22"/>
        <v>1119.7916666666667</v>
      </c>
      <c r="J141" s="146">
        <f t="shared" ca="1" si="19"/>
        <v>22475.433828141333</v>
      </c>
      <c r="K141" s="146">
        <f t="shared" si="23"/>
        <v>12.040770609318997</v>
      </c>
      <c r="L141" t="s">
        <v>623</v>
      </c>
      <c r="N141" s="147"/>
    </row>
    <row r="142" spans="1:14" ht="14.25" customHeight="1">
      <c r="A142" s="143" t="s">
        <v>179</v>
      </c>
      <c r="B142" s="143" t="str">
        <f t="shared" si="20"/>
        <v>Technical Program Manager 2 | 5-10 Years</v>
      </c>
      <c r="C142" s="143" t="s">
        <v>639</v>
      </c>
      <c r="D142" s="144" t="s">
        <v>494</v>
      </c>
      <c r="E142" s="145" t="s">
        <v>495</v>
      </c>
      <c r="F142" s="146">
        <v>270720</v>
      </c>
      <c r="G142" s="146">
        <f t="shared" si="21"/>
        <v>141</v>
      </c>
      <c r="H142" s="147">
        <v>3150000</v>
      </c>
      <c r="I142" s="147">
        <f t="shared" si="22"/>
        <v>1640.625</v>
      </c>
      <c r="J142" s="146">
        <f t="shared" ca="1" si="19"/>
        <v>32929.123980765209</v>
      </c>
      <c r="K142" s="146">
        <f t="shared" si="23"/>
        <v>17.641129032258064</v>
      </c>
      <c r="L142" t="s">
        <v>623</v>
      </c>
      <c r="N142" s="147"/>
    </row>
    <row r="143" spans="1:14" ht="14.25" customHeight="1">
      <c r="A143" s="143" t="s">
        <v>179</v>
      </c>
      <c r="B143" s="143" t="str">
        <f t="shared" si="20"/>
        <v>Technical Program Manager 3 | 10-15 Years</v>
      </c>
      <c r="C143" s="143" t="s">
        <v>640</v>
      </c>
      <c r="D143" s="144" t="s">
        <v>498</v>
      </c>
      <c r="E143" s="145" t="s">
        <v>495</v>
      </c>
      <c r="F143" s="146">
        <v>270720</v>
      </c>
      <c r="G143" s="146">
        <f t="shared" si="21"/>
        <v>141</v>
      </c>
      <c r="H143" s="147">
        <v>4150000</v>
      </c>
      <c r="I143" s="147">
        <f t="shared" si="22"/>
        <v>2161.4583333333335</v>
      </c>
      <c r="J143" s="146">
        <f t="shared" ca="1" si="19"/>
        <v>43382.814133389089</v>
      </c>
      <c r="K143" s="146">
        <f t="shared" si="23"/>
        <v>23.241487455197134</v>
      </c>
      <c r="L143" t="s">
        <v>623</v>
      </c>
      <c r="N143" s="147"/>
    </row>
    <row r="144" spans="1:14" ht="14.25" customHeight="1">
      <c r="A144" s="143" t="s">
        <v>179</v>
      </c>
      <c r="B144" s="143" t="str">
        <f t="shared" si="20"/>
        <v>Technical Program Manager 4 | 15+ Years</v>
      </c>
      <c r="C144" s="143" t="s">
        <v>641</v>
      </c>
      <c r="D144" s="148" t="s">
        <v>500</v>
      </c>
      <c r="E144" s="145" t="s">
        <v>495</v>
      </c>
      <c r="F144" s="146">
        <v>270720</v>
      </c>
      <c r="G144" s="146">
        <f t="shared" si="21"/>
        <v>141</v>
      </c>
      <c r="H144" s="147">
        <v>5050000</v>
      </c>
      <c r="I144" s="147">
        <f t="shared" si="22"/>
        <v>2630.2083333333335</v>
      </c>
      <c r="J144" s="146">
        <f t="shared" ca="1" si="19"/>
        <v>52791.135270750579</v>
      </c>
      <c r="K144" s="146">
        <f t="shared" si="23"/>
        <v>28.281810035842295</v>
      </c>
      <c r="L144" t="s">
        <v>623</v>
      </c>
    </row>
    <row r="145" spans="1:12" ht="14.25" customHeight="1">
      <c r="A145" s="143" t="s">
        <v>187</v>
      </c>
      <c r="B145" s="143" t="str">
        <f t="shared" si="20"/>
        <v>Analyst | 2-3 Years</v>
      </c>
      <c r="C145" s="143" t="s">
        <v>642</v>
      </c>
      <c r="D145" s="144" t="s">
        <v>518</v>
      </c>
      <c r="E145" s="145" t="s">
        <v>495</v>
      </c>
      <c r="F145" s="146">
        <v>115200</v>
      </c>
      <c r="G145" s="146">
        <f t="shared" si="21"/>
        <v>60</v>
      </c>
      <c r="H145" s="147">
        <v>2177280</v>
      </c>
      <c r="I145" s="147">
        <f t="shared" si="22"/>
        <v>1134</v>
      </c>
      <c r="J145" s="146">
        <f t="shared" ca="1" si="19"/>
        <v>22760.610495504912</v>
      </c>
      <c r="K145" s="146">
        <f t="shared" si="23"/>
        <v>12.193548387096774</v>
      </c>
      <c r="L145" t="s">
        <v>643</v>
      </c>
    </row>
    <row r="146" spans="1:12" ht="14.25" customHeight="1">
      <c r="A146" s="143" t="s">
        <v>187</v>
      </c>
      <c r="B146" s="143" t="str">
        <f t="shared" si="20"/>
        <v>Jr. Consultant | 3-5 Years</v>
      </c>
      <c r="C146" s="143" t="s">
        <v>644</v>
      </c>
      <c r="D146" s="144" t="s">
        <v>520</v>
      </c>
      <c r="E146" s="145" t="s">
        <v>495</v>
      </c>
      <c r="F146" s="146">
        <v>192000</v>
      </c>
      <c r="G146" s="146">
        <f t="shared" si="21"/>
        <v>100</v>
      </c>
      <c r="H146" s="147">
        <v>3048192</v>
      </c>
      <c r="I146" s="147">
        <f t="shared" si="22"/>
        <v>1587.6</v>
      </c>
      <c r="J146" s="146">
        <f t="shared" ca="1" si="19"/>
        <v>31864.854693706879</v>
      </c>
      <c r="K146" s="146">
        <f t="shared" si="23"/>
        <v>17.070967741935483</v>
      </c>
      <c r="L146" t="s">
        <v>643</v>
      </c>
    </row>
    <row r="147" spans="1:12" ht="14.25" customHeight="1">
      <c r="A147" s="143" t="s">
        <v>187</v>
      </c>
      <c r="B147" s="143" t="str">
        <f t="shared" si="20"/>
        <v>Consultant | 5-10 Years</v>
      </c>
      <c r="C147" s="143" t="s">
        <v>645</v>
      </c>
      <c r="D147" s="144" t="s">
        <v>494</v>
      </c>
      <c r="E147" s="145" t="s">
        <v>495</v>
      </c>
      <c r="F147" s="146">
        <v>288000</v>
      </c>
      <c r="G147" s="146">
        <f t="shared" si="21"/>
        <v>150</v>
      </c>
      <c r="H147" s="147">
        <v>4354560</v>
      </c>
      <c r="I147" s="147">
        <f t="shared" si="22"/>
        <v>2268</v>
      </c>
      <c r="J147" s="146">
        <f t="shared" ca="1" si="19"/>
        <v>45521.220991009825</v>
      </c>
      <c r="K147" s="146">
        <f t="shared" si="23"/>
        <v>24.387096774193548</v>
      </c>
      <c r="L147" t="s">
        <v>643</v>
      </c>
    </row>
    <row r="148" spans="1:12" ht="14.25" customHeight="1">
      <c r="A148" s="143" t="s">
        <v>187</v>
      </c>
      <c r="B148" s="143" t="str">
        <f t="shared" si="20"/>
        <v>Sr. Consultant | 10-15 Years</v>
      </c>
      <c r="C148" s="143" t="s">
        <v>646</v>
      </c>
      <c r="D148" s="144" t="s">
        <v>498</v>
      </c>
      <c r="E148" s="145" t="s">
        <v>495</v>
      </c>
      <c r="F148" s="146">
        <v>345600</v>
      </c>
      <c r="G148" s="146">
        <f t="shared" si="21"/>
        <v>180</v>
      </c>
      <c r="H148" s="147">
        <v>4717440</v>
      </c>
      <c r="I148" s="147">
        <f t="shared" si="22"/>
        <v>2457</v>
      </c>
      <c r="J148" s="146">
        <f t="shared" ca="1" si="19"/>
        <v>49314.656073593978</v>
      </c>
      <c r="K148" s="146">
        <f t="shared" si="23"/>
        <v>26.419354838709676</v>
      </c>
      <c r="L148" t="s">
        <v>643</v>
      </c>
    </row>
    <row r="149" spans="1:12" ht="14.25" customHeight="1">
      <c r="A149" s="143" t="s">
        <v>187</v>
      </c>
      <c r="B149" s="143" t="str">
        <f t="shared" si="20"/>
        <v>Sr. Consulting Partner | 15+ Years</v>
      </c>
      <c r="C149" s="143" t="s">
        <v>647</v>
      </c>
      <c r="D149" s="148" t="s">
        <v>500</v>
      </c>
      <c r="E149" s="145" t="s">
        <v>495</v>
      </c>
      <c r="F149" s="146">
        <v>480000</v>
      </c>
      <c r="G149" s="146">
        <f t="shared" si="21"/>
        <v>250</v>
      </c>
      <c r="H149" s="147">
        <v>5443200</v>
      </c>
      <c r="I149" s="147">
        <f t="shared" si="22"/>
        <v>2835</v>
      </c>
      <c r="J149" s="146">
        <f t="shared" ca="1" si="19"/>
        <v>56901.526238762286</v>
      </c>
      <c r="K149" s="146">
        <f t="shared" si="23"/>
        <v>30.483870967741936</v>
      </c>
      <c r="L149" t="s">
        <v>643</v>
      </c>
    </row>
    <row r="150" spans="1:12" ht="14.25" customHeight="1">
      <c r="A150" s="143" t="s">
        <v>143</v>
      </c>
      <c r="B150" s="143" t="str">
        <f t="shared" si="20"/>
        <v>Competitive Intelligence Specialist 1 | 3-5 Years</v>
      </c>
      <c r="C150" s="143" t="s">
        <v>648</v>
      </c>
      <c r="D150" s="144" t="s">
        <v>520</v>
      </c>
      <c r="E150" s="145" t="s">
        <v>495</v>
      </c>
      <c r="F150" s="146">
        <v>98703.360000000001</v>
      </c>
      <c r="G150" s="146">
        <f t="shared" si="21"/>
        <v>51.408000000000001</v>
      </c>
      <c r="H150" s="147">
        <v>1250000</v>
      </c>
      <c r="I150" s="147">
        <f t="shared" si="22"/>
        <v>651.04166666666663</v>
      </c>
      <c r="J150" s="146">
        <f t="shared" ca="1" si="19"/>
        <v>13067.112690779846</v>
      </c>
      <c r="K150" s="146">
        <f t="shared" si="23"/>
        <v>7.0004480286738344</v>
      </c>
      <c r="L150" t="s">
        <v>649</v>
      </c>
    </row>
    <row r="151" spans="1:12" ht="14.25" customHeight="1">
      <c r="A151" s="143" t="s">
        <v>143</v>
      </c>
      <c r="B151" s="143" t="str">
        <f t="shared" si="20"/>
        <v>Competitive Intelligence Specialist 2 | 5-10 Years</v>
      </c>
      <c r="C151" s="143" t="s">
        <v>650</v>
      </c>
      <c r="D151" s="144" t="s">
        <v>494</v>
      </c>
      <c r="E151" s="145" t="s">
        <v>495</v>
      </c>
      <c r="F151" s="146">
        <v>130636.8</v>
      </c>
      <c r="G151" s="146">
        <f t="shared" si="21"/>
        <v>68.040000000000006</v>
      </c>
      <c r="H151" s="147">
        <v>2350000</v>
      </c>
      <c r="I151" s="147">
        <f t="shared" si="22"/>
        <v>1223.9583333333333</v>
      </c>
      <c r="J151" s="146">
        <f t="shared" ca="1" si="19"/>
        <v>24566.171858666112</v>
      </c>
      <c r="K151" s="146">
        <f t="shared" si="23"/>
        <v>13.160842293906809</v>
      </c>
      <c r="L151" t="s">
        <v>649</v>
      </c>
    </row>
    <row r="152" spans="1:12" ht="14.25" customHeight="1">
      <c r="A152" s="143" t="s">
        <v>144</v>
      </c>
      <c r="B152" s="143" t="str">
        <f t="shared" si="20"/>
        <v>Market Research Operations 1 | 2-3 Years</v>
      </c>
      <c r="C152" s="143" t="s">
        <v>651</v>
      </c>
      <c r="D152" s="144" t="s">
        <v>518</v>
      </c>
      <c r="E152" s="145" t="s">
        <v>495</v>
      </c>
      <c r="F152" s="152">
        <f t="shared" ref="F152:F159" si="24">G152*1920</f>
        <v>115200</v>
      </c>
      <c r="G152" s="152">
        <v>60</v>
      </c>
      <c r="H152" s="147">
        <v>650000</v>
      </c>
      <c r="I152" s="153">
        <f t="shared" si="22"/>
        <v>338.54166666666669</v>
      </c>
      <c r="J152" s="146">
        <f t="shared" ca="1" si="19"/>
        <v>6794.8985992055195</v>
      </c>
      <c r="K152" s="152">
        <f t="shared" si="23"/>
        <v>3.6402329749103943</v>
      </c>
      <c r="L152" t="s">
        <v>649</v>
      </c>
    </row>
    <row r="153" spans="1:12" ht="14.25" customHeight="1">
      <c r="A153" s="143" t="s">
        <v>144</v>
      </c>
      <c r="B153" s="143" t="str">
        <f t="shared" si="20"/>
        <v>Market Research Operations 2 | 3-5 Years</v>
      </c>
      <c r="C153" s="143" t="s">
        <v>652</v>
      </c>
      <c r="D153" s="144" t="s">
        <v>520</v>
      </c>
      <c r="E153" s="145" t="s">
        <v>495</v>
      </c>
      <c r="F153" s="152">
        <f t="shared" si="24"/>
        <v>134400</v>
      </c>
      <c r="G153" s="152">
        <v>70</v>
      </c>
      <c r="H153" s="147">
        <v>1000000</v>
      </c>
      <c r="I153" s="153">
        <f t="shared" si="22"/>
        <v>520.83333333333337</v>
      </c>
      <c r="J153" s="146">
        <f t="shared" ca="1" si="19"/>
        <v>10453.690152623876</v>
      </c>
      <c r="K153" s="152">
        <f t="shared" si="23"/>
        <v>5.6003584229390686</v>
      </c>
      <c r="L153" t="s">
        <v>649</v>
      </c>
    </row>
    <row r="154" spans="1:12" ht="14.25" customHeight="1">
      <c r="A154" s="143" t="s">
        <v>144</v>
      </c>
      <c r="B154" s="143" t="str">
        <f t="shared" si="20"/>
        <v>Market Research Operations 3 | 5-10 Years</v>
      </c>
      <c r="C154" s="143" t="s">
        <v>653</v>
      </c>
      <c r="D154" s="144" t="s">
        <v>494</v>
      </c>
      <c r="E154" s="145" t="s">
        <v>495</v>
      </c>
      <c r="F154" s="152">
        <f t="shared" si="24"/>
        <v>138240</v>
      </c>
      <c r="G154" s="152">
        <v>72</v>
      </c>
      <c r="H154" s="147">
        <v>1600000</v>
      </c>
      <c r="I154" s="153">
        <f t="shared" si="22"/>
        <v>833.33333333333337</v>
      </c>
      <c r="J154" s="146">
        <f t="shared" ca="1" si="19"/>
        <v>16725.904244198202</v>
      </c>
      <c r="K154" s="152">
        <f t="shared" si="23"/>
        <v>8.9605734767025087</v>
      </c>
      <c r="L154" t="s">
        <v>649</v>
      </c>
    </row>
    <row r="155" spans="1:12" ht="14.25" customHeight="1">
      <c r="A155" s="143" t="s">
        <v>144</v>
      </c>
      <c r="B155" s="143" t="str">
        <f t="shared" si="20"/>
        <v>Market Research Operations 4 | 10-15 Years</v>
      </c>
      <c r="C155" s="143" t="s">
        <v>654</v>
      </c>
      <c r="D155" s="144" t="s">
        <v>498</v>
      </c>
      <c r="E155" s="145" t="s">
        <v>495</v>
      </c>
      <c r="F155" s="152">
        <f t="shared" si="24"/>
        <v>153600</v>
      </c>
      <c r="G155" s="152">
        <v>80</v>
      </c>
      <c r="H155" s="147">
        <v>2500000</v>
      </c>
      <c r="I155" s="153">
        <f t="shared" si="22"/>
        <v>1302.0833333333333</v>
      </c>
      <c r="J155" s="146">
        <f t="shared" ca="1" si="19"/>
        <v>26134.225381559692</v>
      </c>
      <c r="K155" s="152">
        <f t="shared" si="23"/>
        <v>14.000896057347669</v>
      </c>
      <c r="L155" t="s">
        <v>649</v>
      </c>
    </row>
    <row r="156" spans="1:12" ht="14.25" customHeight="1">
      <c r="A156" s="143" t="s">
        <v>144</v>
      </c>
      <c r="B156" s="143" t="str">
        <f t="shared" si="20"/>
        <v>Primary Researcher 1 | 2-3 Years</v>
      </c>
      <c r="C156" s="143" t="s">
        <v>655</v>
      </c>
      <c r="D156" s="144" t="s">
        <v>518</v>
      </c>
      <c r="E156" s="145" t="s">
        <v>495</v>
      </c>
      <c r="F156" s="152">
        <f t="shared" si="24"/>
        <v>115200</v>
      </c>
      <c r="G156" s="152">
        <v>60</v>
      </c>
      <c r="H156" s="147">
        <v>650000</v>
      </c>
      <c r="I156" s="153">
        <f t="shared" si="22"/>
        <v>338.54166666666669</v>
      </c>
      <c r="J156" s="146">
        <f t="shared" ca="1" si="19"/>
        <v>6794.8985992055195</v>
      </c>
      <c r="K156" s="152">
        <f t="shared" si="23"/>
        <v>3.6402329749103943</v>
      </c>
      <c r="L156" t="s">
        <v>649</v>
      </c>
    </row>
    <row r="157" spans="1:12" ht="14.25" customHeight="1">
      <c r="A157" s="143" t="s">
        <v>144</v>
      </c>
      <c r="B157" s="143" t="str">
        <f t="shared" si="20"/>
        <v>Primary Researcher 2 | 3-5 Years</v>
      </c>
      <c r="C157" s="143" t="s">
        <v>656</v>
      </c>
      <c r="D157" s="144" t="s">
        <v>520</v>
      </c>
      <c r="E157" s="145" t="s">
        <v>495</v>
      </c>
      <c r="F157" s="152">
        <f t="shared" si="24"/>
        <v>134400</v>
      </c>
      <c r="G157" s="152">
        <v>70</v>
      </c>
      <c r="H157" s="147">
        <v>1000000</v>
      </c>
      <c r="I157" s="153">
        <f t="shared" si="22"/>
        <v>520.83333333333337</v>
      </c>
      <c r="J157" s="146">
        <f t="shared" ref="J157:J163" ca="1" si="25">H157/$B$1</f>
        <v>10453.690152623876</v>
      </c>
      <c r="K157" s="152">
        <f t="shared" si="23"/>
        <v>5.6003584229390686</v>
      </c>
      <c r="L157" t="s">
        <v>649</v>
      </c>
    </row>
    <row r="158" spans="1:12" ht="14.25" customHeight="1">
      <c r="A158" s="143" t="s">
        <v>144</v>
      </c>
      <c r="B158" s="143" t="str">
        <f t="shared" si="20"/>
        <v>Primary Researcher 3 | 5-10 Years</v>
      </c>
      <c r="C158" s="143" t="s">
        <v>657</v>
      </c>
      <c r="D158" s="144" t="s">
        <v>494</v>
      </c>
      <c r="E158" s="145" t="s">
        <v>495</v>
      </c>
      <c r="F158" s="152">
        <f t="shared" si="24"/>
        <v>138240</v>
      </c>
      <c r="G158" s="152">
        <v>72</v>
      </c>
      <c r="H158" s="147">
        <v>1600000</v>
      </c>
      <c r="I158" s="153">
        <f t="shared" si="22"/>
        <v>833.33333333333337</v>
      </c>
      <c r="J158" s="146">
        <f t="shared" ca="1" si="25"/>
        <v>16725.904244198202</v>
      </c>
      <c r="K158" s="152">
        <f t="shared" si="23"/>
        <v>8.9605734767025087</v>
      </c>
      <c r="L158" t="s">
        <v>649</v>
      </c>
    </row>
    <row r="159" spans="1:12" ht="14.25" customHeight="1">
      <c r="A159" s="143" t="s">
        <v>144</v>
      </c>
      <c r="B159" s="143" t="str">
        <f t="shared" si="20"/>
        <v>Primary Researcher 4 | 10-15 Years</v>
      </c>
      <c r="C159" s="143" t="s">
        <v>658</v>
      </c>
      <c r="D159" s="144" t="s">
        <v>498</v>
      </c>
      <c r="E159" s="145" t="s">
        <v>495</v>
      </c>
      <c r="F159" s="152">
        <f t="shared" si="24"/>
        <v>153600</v>
      </c>
      <c r="G159" s="152">
        <v>80</v>
      </c>
      <c r="H159" s="147">
        <v>2500000</v>
      </c>
      <c r="I159" s="153">
        <f t="shared" si="22"/>
        <v>1302.0833333333333</v>
      </c>
      <c r="J159" s="146">
        <f t="shared" ca="1" si="25"/>
        <v>26134.225381559692</v>
      </c>
      <c r="K159" s="152">
        <f t="shared" si="23"/>
        <v>14.000896057347669</v>
      </c>
      <c r="L159" t="s">
        <v>649</v>
      </c>
    </row>
    <row r="160" spans="1:12" ht="14.25" customHeight="1">
      <c r="A160" s="143" t="s">
        <v>144</v>
      </c>
      <c r="B160" s="143" t="str">
        <f t="shared" si="20"/>
        <v>Secondary MR / MICI Analyst 1 | 2-3 Years</v>
      </c>
      <c r="C160" s="143" t="s">
        <v>659</v>
      </c>
      <c r="D160" s="144" t="s">
        <v>518</v>
      </c>
      <c r="E160" s="145" t="s">
        <v>495</v>
      </c>
      <c r="F160" s="146">
        <v>95000</v>
      </c>
      <c r="G160" s="146">
        <f>F160/1920</f>
        <v>49.479166666666664</v>
      </c>
      <c r="H160" s="147">
        <v>800000</v>
      </c>
      <c r="I160" s="147">
        <f t="shared" si="22"/>
        <v>416.66666666666669</v>
      </c>
      <c r="J160" s="146">
        <f t="shared" ca="1" si="25"/>
        <v>8362.952122099101</v>
      </c>
      <c r="K160" s="146">
        <f ca="1">J160/1920</f>
        <v>4.3557042302599482</v>
      </c>
      <c r="L160" t="s">
        <v>649</v>
      </c>
    </row>
    <row r="161" spans="1:12" ht="14.25" customHeight="1">
      <c r="A161" s="143" t="s">
        <v>144</v>
      </c>
      <c r="B161" s="143" t="str">
        <f t="shared" si="20"/>
        <v>Secondary MR / MICI Analyst 2 | 3-5 Years</v>
      </c>
      <c r="C161" s="143" t="s">
        <v>660</v>
      </c>
      <c r="D161" s="144" t="s">
        <v>520</v>
      </c>
      <c r="E161" s="145" t="s">
        <v>495</v>
      </c>
      <c r="F161" s="146">
        <v>105000</v>
      </c>
      <c r="G161" s="146">
        <f>F161/1920</f>
        <v>54.6875</v>
      </c>
      <c r="H161" s="147">
        <v>1250000</v>
      </c>
      <c r="I161" s="147">
        <f t="shared" si="22"/>
        <v>651.04166666666663</v>
      </c>
      <c r="J161" s="146">
        <f t="shared" ca="1" si="25"/>
        <v>13067.112690779846</v>
      </c>
      <c r="K161" s="146">
        <f ca="1">J161/1920</f>
        <v>6.8057878597811703</v>
      </c>
      <c r="L161" t="s">
        <v>649</v>
      </c>
    </row>
    <row r="162" spans="1:12" ht="14.25" customHeight="1">
      <c r="A162" s="143" t="s">
        <v>144</v>
      </c>
      <c r="B162" s="143" t="str">
        <f t="shared" si="20"/>
        <v>Secondary MR / MICI Analyst 3 | 5-10 Years</v>
      </c>
      <c r="C162" s="143" t="s">
        <v>661</v>
      </c>
      <c r="D162" s="144" t="s">
        <v>494</v>
      </c>
      <c r="E162" s="145" t="s">
        <v>495</v>
      </c>
      <c r="F162" s="146">
        <v>115000</v>
      </c>
      <c r="G162" s="146">
        <f>F162/1920</f>
        <v>59.895833333333336</v>
      </c>
      <c r="H162" s="147">
        <v>1850000</v>
      </c>
      <c r="I162" s="147">
        <f t="shared" si="22"/>
        <v>963.54166666666663</v>
      </c>
      <c r="J162" s="146">
        <f t="shared" ca="1" si="25"/>
        <v>19339.326782354172</v>
      </c>
      <c r="K162" s="146">
        <f ca="1">J162/1920</f>
        <v>10.07256603247613</v>
      </c>
      <c r="L162" t="s">
        <v>649</v>
      </c>
    </row>
    <row r="163" spans="1:12" ht="15" customHeight="1">
      <c r="A163" s="154" t="s">
        <v>144</v>
      </c>
      <c r="B163" s="143" t="str">
        <f t="shared" si="20"/>
        <v>Secondary MR / MICI Analyst 4 | 10-15 Years</v>
      </c>
      <c r="C163" s="154" t="s">
        <v>662</v>
      </c>
      <c r="D163" s="144" t="s">
        <v>498</v>
      </c>
      <c r="E163" s="145" t="s">
        <v>495</v>
      </c>
      <c r="F163" s="146">
        <v>135000</v>
      </c>
      <c r="G163" s="146">
        <f>F163/1920</f>
        <v>70.3125</v>
      </c>
      <c r="H163" s="155">
        <v>2700000</v>
      </c>
      <c r="I163" s="147">
        <f t="shared" si="22"/>
        <v>1406.25</v>
      </c>
      <c r="J163" s="146">
        <f t="shared" ca="1" si="25"/>
        <v>28224.963412084468</v>
      </c>
      <c r="K163" s="146">
        <f ca="1">J163/1920</f>
        <v>14.700501777127327</v>
      </c>
      <c r="L163" t="s">
        <v>649</v>
      </c>
    </row>
    <row r="164" spans="1:12" ht="14.25" customHeight="1">
      <c r="H164" s="127"/>
      <c r="I164" s="156"/>
    </row>
    <row r="165" spans="1:12" ht="14.25" customHeight="1">
      <c r="H165" s="127"/>
    </row>
    <row r="166" spans="1:12" ht="14.25" customHeight="1">
      <c r="H166" s="127"/>
    </row>
    <row r="167" spans="1:12" ht="14.25" customHeight="1">
      <c r="H167" s="127"/>
    </row>
    <row r="168" spans="1:12" ht="14.25" customHeight="1">
      <c r="F168" s="157"/>
      <c r="H168" s="127"/>
    </row>
    <row r="169" spans="1:12" ht="14.25" customHeight="1">
      <c r="H169" s="127"/>
    </row>
    <row r="170" spans="1:12" ht="14.25" customHeight="1">
      <c r="H170" s="127"/>
    </row>
    <row r="171" spans="1:12" ht="14.25" customHeight="1">
      <c r="H171" s="127"/>
    </row>
    <row r="172" spans="1:12" ht="14.25" customHeight="1">
      <c r="H172" s="127"/>
    </row>
    <row r="173" spans="1:12" ht="14.25" customHeight="1">
      <c r="H173" s="127"/>
    </row>
    <row r="174" spans="1:12" ht="14.25" customHeight="1">
      <c r="H174" s="127"/>
    </row>
    <row r="175" spans="1:12" ht="14.25" customHeight="1">
      <c r="H175" s="127"/>
    </row>
    <row r="176" spans="1:12" ht="14.25" customHeight="1">
      <c r="H176" s="127"/>
    </row>
    <row r="177" spans="8:8" ht="14.25" customHeight="1">
      <c r="H177" s="127"/>
    </row>
  </sheetData>
  <autoFilter ref="A3:L163" xr:uid="{00000000-0009-0000-0000-000008000000}"/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1daf6ff-ab29-4e47-b642-d59a9f8b800d" xsi:nil="true"/>
    <ProblemArea xmlns="aab43240-0c90-42b6-b1f9-20f82582cb5a" xsi:nil="true"/>
    <Industry xmlns="aab43240-0c90-42b6-b1f9-20f82582cb5a" xsi:nil="true"/>
    <linktofile xmlns="aab43240-0c90-42b6-b1f9-20f82582cb5a">
      <Url xsi:nil="true"/>
      <Description xsi:nil="true"/>
    </linktofile>
    <Others xmlns="aab43240-0c90-42b6-b1f9-20f82582cb5a" xsi:nil="true"/>
    <lcf76f155ced4ddcb4097134ff3c332f xmlns="aab43240-0c90-42b6-b1f9-20f82582cb5a">
      <Terms xmlns="http://schemas.microsoft.com/office/infopath/2007/PartnerControls"/>
    </lcf76f155ced4ddcb4097134ff3c332f>
    <IncidentID xmlns="aab43240-0c90-42b6-b1f9-20f82582cb5a" xsi:nil="true"/>
    <FileProperties xmlns="aab43240-0c90-42b6-b1f9-20f82582cb5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8C25276D25754D99ED3DF75D0ABE1F" ma:contentTypeVersion="22" ma:contentTypeDescription="Create a new document." ma:contentTypeScope="" ma:versionID="4d90c52b8992091e29b9e2c2cb9236f4">
  <xsd:schema xmlns:xsd="http://www.w3.org/2001/XMLSchema" xmlns:xs="http://www.w3.org/2001/XMLSchema" xmlns:p="http://schemas.microsoft.com/office/2006/metadata/properties" xmlns:ns2="aab43240-0c90-42b6-b1f9-20f82582cb5a" xmlns:ns3="51daf6ff-ab29-4e47-b642-d59a9f8b800d" targetNamespace="http://schemas.microsoft.com/office/2006/metadata/properties" ma:root="true" ma:fieldsID="76d2c2fd82005b7a1d64d2d4ffc7e0c2" ns2:_="" ns3:_="">
    <xsd:import namespace="aab43240-0c90-42b6-b1f9-20f82582cb5a"/>
    <xsd:import namespace="51daf6ff-ab29-4e47-b642-d59a9f8b800d"/>
    <xsd:element name="properties">
      <xsd:complexType>
        <xsd:sequence>
          <xsd:element name="documentManagement">
            <xsd:complexType>
              <xsd:all>
                <xsd:element ref="ns2:Industry" minOccurs="0"/>
                <xsd:element ref="ns2:ProblemArea" minOccurs="0"/>
                <xsd:element ref="ns2:Other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IncidentID" minOccurs="0"/>
                <xsd:element ref="ns2:FileProperties" minOccurs="0"/>
                <xsd:element ref="ns2:MediaServiceOCR" minOccurs="0"/>
                <xsd:element ref="ns2:MediaServiceBillingMetadata" minOccurs="0"/>
                <xsd:element ref="ns2:linktofil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b43240-0c90-42b6-b1f9-20f82582cb5a" elementFormDefault="qualified">
    <xsd:import namespace="http://schemas.microsoft.com/office/2006/documentManagement/types"/>
    <xsd:import namespace="http://schemas.microsoft.com/office/infopath/2007/PartnerControls"/>
    <xsd:element name="Industry" ma:index="8" nillable="true" ma:displayName="Industry" ma:format="Dropdown" ma:internalName="Industry">
      <xsd:simpleType>
        <xsd:restriction base="dms:Choice">
          <xsd:enumeration value="TMT"/>
          <xsd:enumeration value="RCM"/>
          <xsd:enumeration value="BFSI &amp; others"/>
          <xsd:enumeration value="HLS"/>
          <xsd:enumeration value="Reformatted"/>
        </xsd:restriction>
      </xsd:simpleType>
    </xsd:element>
    <xsd:element name="ProblemArea" ma:index="9" nillable="true" ma:displayName="Problem Area" ma:format="Dropdown" ma:indexed="true" ma:internalName="ProblemArea">
      <xsd:simpleType>
        <xsd:restriction base="dms:Choice">
          <xsd:enumeration value="Market Intelligence and Competitor Intelligence (MICI)"/>
          <xsd:enumeration value="Business Intelligence"/>
          <xsd:enumeration value="Artificial Intelligence and Machine Learning"/>
          <xsd:enumeration value="Data Management"/>
          <xsd:enumeration value="Consumer Insight"/>
          <xsd:enumeration value="Marketing and Sales"/>
          <xsd:enumeration value="Supply Chain and Procurement"/>
          <xsd:enumeration value="Gen AI"/>
        </xsd:restriction>
      </xsd:simpleType>
    </xsd:element>
    <xsd:element name="Others" ma:index="10" nillable="true" ma:displayName="Others" ma:format="Dropdown" ma:internalName="Other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BI Infrastructure"/>
                    <xsd:enumeration value="Brand Measurement"/>
                    <xsd:enumeration value="Market Research Insights"/>
                    <xsd:enumeration value="Data Strategy"/>
                    <xsd:enumeration value="Marketing &amp; Sales"/>
                    <xsd:enumeration value="Data Foundation"/>
                    <xsd:enumeration value="Customer Journey Analytics"/>
                    <xsd:enumeration value="Profitability Improvement"/>
                    <xsd:enumeration value="Customer Insights"/>
                    <xsd:enumeration value="Competitive Intelligence"/>
                    <xsd:enumeration value="Qualitative Research"/>
                    <xsd:enumeration value="Concept Testing"/>
                    <xsd:enumeration value="Account Intelligence"/>
                    <xsd:enumeration value="Competitor Analysis"/>
                    <xsd:enumeration value="Text Analytics"/>
                    <xsd:enumeration value="Store Segmentation"/>
                    <xsd:enumeration value="Cost to Serve"/>
                    <xsd:enumeration value="Campaign Effectiveness"/>
                    <xsd:enumeration value="Dynamic Content Generation"/>
                    <xsd:enumeration value="CDP"/>
                    <xsd:enumeration value="Digital Analytics"/>
                    <xsd:enumeration value="Customer Targeting"/>
                    <xsd:enumeration value="Accounts Payables"/>
                    <xsd:enumeration value="Discovery"/>
                    <xsd:enumeration value="FTE Resourcing"/>
                    <xsd:enumeration value="Simulator"/>
                    <xsd:enumeration value="Marketplace Analytics"/>
                    <xsd:enumeration value="Business Intelligence"/>
                    <xsd:enumeration value="Customer &amp; Marketing Analytics"/>
                    <xsd:enumeration value="Google Analytics"/>
                    <xsd:enumeration value="Market Research"/>
                    <xsd:enumeration value="Consumer Insights"/>
                    <xsd:enumeration value="DevOps"/>
                    <xsd:enumeration value="Demand Forecasting"/>
                    <xsd:enumeration value="Segmentation"/>
                    <xsd:enumeration value="Conjoint analysis"/>
                    <xsd:enumeration value="Verbatim"/>
                    <xsd:enumeration value="open ​end coding"/>
                    <xsd:enumeration value="Risk analytics"/>
                    <xsd:enumeration value="Adverse Events Reporting"/>
                    <xsd:enumeration value="Key Driver Analysis"/>
                    <xsd:enumeration value="NPD Launch Analytics"/>
                    <xsd:enumeration value="Inventory Forecasting"/>
                    <xsd:enumeration value="MMM"/>
                    <xsd:enumeration value="Forecasting"/>
                    <xsd:enumeration value="Personalization"/>
                    <xsd:enumeration value="Market Share Analysis"/>
                    <xsd:enumeration value="SKU Incrementality"/>
                    <xsd:enumeration value="SKU Rationalization"/>
                    <xsd:enumeration value="MLOps"/>
                    <xsd:enumeration value="MDM"/>
                    <xsd:enumeration value="LLM Network Graphs"/>
                    <xsd:enumeration value="CTS"/>
                    <xsd:enumeration value="Customer Experience"/>
                    <xsd:enumeration value="Growth Dashboard"/>
                    <xsd:enumeration value="Research Studio"/>
                    <xsd:enumeration value="Reporting Automation"/>
                    <xsd:enumeration value="Data Platform"/>
                    <xsd:enumeration value="Customer Journey"/>
                    <xsd:enumeration value="Primary Research"/>
                    <xsd:enumeration value="Secondary Research"/>
                    <xsd:enumeration value="Data Analytics"/>
                    <xsd:enumeration value="BI"/>
                    <xsd:enumeration value="ML"/>
                    <xsd:enumeration value="Gen AI"/>
                    <xsd:enumeration value="Social Listening"/>
                    <xsd:enumeration value="Social Media Analytics"/>
                    <xsd:enumeration value="BI and Reporting"/>
                    <xsd:enumeration value="Managed Services"/>
                    <xsd:enumeration value="Competitive Analysis"/>
                    <xsd:enumeration value="Survey Data Quality"/>
                    <xsd:enumeration value="Compete"/>
                    <xsd:enumeration value="Insights Portal"/>
                    <xsd:enumeration value="Platform setup"/>
                    <xsd:enumeration value="Pricing &amp; Promotion"/>
                    <xsd:enumeration value="Customer Activation"/>
                    <xsd:enumeration value="Phone Activation Survey"/>
                    <xsd:enumeration value="Martech"/>
                    <xsd:enumeration value="Setup Foundation with Tableau Dashboard ​"/>
                    <xsd:enumeration value="Set up and operationalization of the platform"/>
                    <xsd:enumeration value="Improve dashboarding and visualization"/>
                    <xsd:enumeration value="CDP &amp; Digital Engineering​"/>
                    <xsd:enumeration value="generating actionable insights"/>
                    <xsd:enumeration value="NA"/>
                    <xsd:enumeration value="customer 360"/>
                    <xsd:enumeration value="Search Optimization"/>
                    <xsd:enumeration value="Retail Media Analytics"/>
                    <xsd:enumeration value="Synthetic Data"/>
                    <xsd:enumeration value="DCOM Intelligence"/>
                    <xsd:enumeration value="Digital Commerce"/>
                    <xsd:enumeration value="Customer Data Platform"/>
                    <xsd:enumeration value="Automated Data Pipelines"/>
                    <xsd:enumeration value="Centralised Data Repository"/>
                    <xsd:enumeration value="ML Models for Segmentation"/>
                    <xsd:enumeration value="Digital Shelf Platform"/>
                    <xsd:enumeration value="DCOM Experience"/>
                    <xsd:enumeration value="Centralised Experience Platform"/>
                    <xsd:enumeration value="Knowledge Portal"/>
                    <xsd:enumeration value="Analytics Roadmap"/>
                    <xsd:enumeration value="Social Media Sensing"/>
                    <xsd:enumeration value="CDP Data Management"/>
                    <xsd:enumeration value="Pricing Analytics"/>
                    <xsd:enumeration value="Discovery and Digital Shelf"/>
                    <xsd:enumeration value="CLG"/>
                    <xsd:enumeration value="RGM"/>
                    <xsd:enumeration value="BI Migration"/>
                    <xsd:enumeration value="Enterprise BI"/>
                    <xsd:enumeration value="Data Observability"/>
                    <xsd:enumeration value="Omnicomerce"/>
                    <xsd:enumeration value="GBS Team Support"/>
                    <xsd:enumeration value="CLV"/>
                    <xsd:enumeration value="NRM"/>
                    <xsd:enumeration value="ROI Data Model"/>
                    <xsd:enumeration value="3M Relationshop slide"/>
                    <xsd:enumeration value="IMM Capabilities"/>
                    <xsd:enumeration value="Digital Transformation Charter"/>
                    <xsd:enumeration value="POS Data Harmonization"/>
                    <xsd:enumeration value="Sales Sensing"/>
                    <xsd:enumeration value="Sales Optimization"/>
                    <xsd:enumeration value="Propensity Modelling"/>
                    <xsd:enumeration value="Supply Chain Capability for 3M"/>
                    <xsd:enumeration value="Survey Analytics"/>
                    <xsd:enumeration value="Retail POS Data Harmonization"/>
                    <xsd:enumeration value="Trade Promotion"/>
                    <xsd:enumeration value="TPO"/>
                    <xsd:enumeration value="Digital Analytics Overview"/>
                    <xsd:enumeration value="NCBDs"/>
                    <xsd:enumeration value="Value Proposition for 3M"/>
                  </xsd:restriction>
                </xsd:simpleType>
              </xsd:element>
            </xsd:sequence>
          </xsd:extension>
        </xsd:complexContent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6409d21-45bd-4073-9167-75d94eea53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IncidentID" ma:index="24" nillable="true" ma:displayName="IncidentID" ma:format="Dropdown" ma:internalName="IncidentID" ma:percentage="FALSE">
      <xsd:simpleType>
        <xsd:restriction base="dms:Number"/>
      </xsd:simpleType>
    </xsd:element>
    <xsd:element name="FileProperties" ma:index="25" nillable="true" ma:displayName="File Properties" ma:format="Dropdown" ma:internalName="FileProperties">
      <xsd:simpleType>
        <xsd:restriction base="dms:Choice">
          <xsd:enumeration value="Link"/>
          <xsd:enumeration value="Choice 2"/>
        </xsd:restriction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inktofile" ma:index="28" nillable="true" ma:displayName="link to file" ma:format="Hyperlink" ma:internalName="linktofil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daf6ff-ab29-4e47-b642-d59a9f8b800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5029c07-5926-42c4-9d2a-9ab33d336a4e}" ma:internalName="TaxCatchAll" ma:showField="CatchAllData" ma:web="51daf6ff-ab29-4e47-b642-d59a9f8b80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5C01AF-F8FA-49DA-AA4F-ED43C6488DD1}"/>
</file>

<file path=customXml/itemProps2.xml><?xml version="1.0" encoding="utf-8"?>
<ds:datastoreItem xmlns:ds="http://schemas.openxmlformats.org/officeDocument/2006/customXml" ds:itemID="{ADA3A6B6-60DB-4EA8-A423-82809E13554B}"/>
</file>

<file path=customXml/itemProps3.xml><?xml version="1.0" encoding="utf-8"?>
<ds:datastoreItem xmlns:ds="http://schemas.openxmlformats.org/officeDocument/2006/customXml" ds:itemID="{9E91B448-D30A-4A45-9C17-22E6CAC85F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Jacob</dc:creator>
  <cp:keywords>CONFIDENTIAL</cp:keywords>
  <dc:description/>
  <cp:lastModifiedBy/>
  <cp:revision>0</cp:revision>
  <dcterms:created xsi:type="dcterms:W3CDTF">2025-08-26T16:15:42Z</dcterms:created>
  <dcterms:modified xsi:type="dcterms:W3CDTF">2026-09-11T08:40:12Z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</vt:lpwstr>
  </property>
  <property fmtid="{D5CDD505-2E9C-101B-9397-08002B2CF9AE}" pid="3" name="ComplianceAssetId">
    <vt:lpwstr/>
  </property>
  <property fmtid="{D5CDD505-2E9C-101B-9397-08002B2CF9AE}" pid="4" name="ContentTypeId">
    <vt:lpwstr>0x010100B88C25276D25754D99ED3DF75D0ABE1F</vt:lpwstr>
  </property>
  <property fmtid="{D5CDD505-2E9C-101B-9397-08002B2CF9AE}" pid="5" name="KID">
    <vt:lpwstr>581CF8DB5830639069270008441198</vt:lpwstr>
  </property>
  <property fmtid="{D5CDD505-2E9C-101B-9397-08002B2CF9AE}" pid="6" name="KlassifyGUID">
    <vt:lpwstr>6b80e18f-6a9a-4fb5-a233-294e233c8fcf</vt:lpwstr>
  </property>
  <property fmtid="{D5CDD505-2E9C-101B-9397-08002B2CF9AE}" pid="7" name="MediaServiceImageTags">
    <vt:lpwstr/>
  </property>
  <property fmtid="{D5CDD505-2E9C-101B-9397-08002B2CF9AE}" pid="8" name="TriggerFlowInfo">
    <vt:lpwstr/>
  </property>
  <property fmtid="{D5CDD505-2E9C-101B-9397-08002B2CF9AE}" pid="9" name="_ExtendedDescription">
    <vt:lpwstr/>
  </property>
  <property fmtid="{D5CDD505-2E9C-101B-9397-08002B2CF9AE}" pid="10" name="_activity">
    <vt:lpwstr>{"FileActivityType":"9","FileActivityTimeStamp":"2026-02-17T07:43:23.543Z","FileActivityUsersOnPage":[{"DisplayName":"Revanth Vaddi","Id":"revanth.vaddi@course5i.com"},{"DisplayName":"Tarun Mahajan","Id":"tarun.mahajan@course5i.com"}],"FileActivityNavigationId":null}</vt:lpwstr>
  </property>
</Properties>
</file>